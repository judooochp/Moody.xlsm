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C13" i="5" l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1" i="5"/>
  <c r="C12" i="5" s="1"/>
  <c r="C10" i="5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1" i="3"/>
  <c r="C12" i="3" s="1"/>
  <c r="C10" i="3"/>
  <c r="C13" i="14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1" i="14"/>
  <c r="C12" i="14" s="1"/>
  <c r="C10" i="14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C107" i="13" s="1"/>
  <c r="C108" i="13" s="1"/>
  <c r="C11" i="13"/>
  <c r="C12" i="13" s="1"/>
  <c r="C10" i="13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1" i="12"/>
  <c r="C12" i="12" s="1"/>
  <c r="C10" i="12"/>
  <c r="C13" i="1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1" i="11"/>
  <c r="C12" i="11" s="1"/>
  <c r="C10" i="1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1" i="2"/>
  <c r="C12" i="2" s="1"/>
  <c r="C10" i="2"/>
  <c r="C1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" i="1"/>
  <c r="F4" i="16" l="1"/>
  <c r="G4" i="16"/>
  <c r="H4" i="16" s="1"/>
  <c r="I4" i="16" s="1"/>
  <c r="J4" i="16" s="1"/>
  <c r="K4" i="16" s="1"/>
  <c r="E4" i="16"/>
  <c r="N6" i="5" l="1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83" i="12"/>
  <c r="B45" i="14"/>
  <c r="K45" i="14" s="1"/>
  <c r="B105" i="12"/>
  <c r="K105" i="12" s="1"/>
  <c r="B88" i="3"/>
  <c r="B99" i="12"/>
  <c r="B96" i="14"/>
  <c r="B78" i="14"/>
  <c r="K78" i="14" s="1"/>
  <c r="B68" i="12"/>
  <c r="B97" i="14"/>
  <c r="B103" i="14"/>
  <c r="B89" i="12"/>
  <c r="B102" i="12"/>
  <c r="B92" i="14"/>
  <c r="B84" i="3"/>
  <c r="K84" i="3" s="1"/>
  <c r="B74" i="14"/>
  <c r="B73" i="12"/>
  <c r="B51" i="3"/>
  <c r="B106" i="3"/>
  <c r="B89" i="3"/>
  <c r="B69" i="14"/>
  <c r="B106" i="12"/>
  <c r="B105" i="3"/>
  <c r="B101" i="14"/>
  <c r="K101" i="14" s="1"/>
  <c r="B97" i="3"/>
  <c r="B87" i="14"/>
  <c r="B77" i="12"/>
  <c r="B98" i="14"/>
  <c r="B94" i="14"/>
  <c r="K94" i="14" s="1"/>
  <c r="B90" i="12"/>
  <c r="B84" i="12"/>
  <c r="B82" i="3"/>
  <c r="B76" i="14"/>
  <c r="K76" i="14" s="1"/>
  <c r="B70" i="14"/>
  <c r="B42" i="14"/>
  <c r="B69" i="12"/>
  <c r="B54" i="14"/>
  <c r="B47" i="14"/>
  <c r="K47" i="14" s="1"/>
  <c r="B107" i="12"/>
  <c r="B102" i="14"/>
  <c r="B93" i="3"/>
  <c r="B80" i="3"/>
  <c r="B55" i="14"/>
  <c r="K55" i="14" s="1"/>
  <c r="B50" i="14"/>
  <c r="B99" i="14"/>
  <c r="B96" i="3"/>
  <c r="B89" i="14"/>
  <c r="B82" i="12"/>
  <c r="B73" i="14"/>
  <c r="B61" i="14"/>
  <c r="B48" i="12"/>
  <c r="B64" i="3"/>
  <c r="B106" i="14"/>
  <c r="B105" i="14"/>
  <c r="K105" i="14" s="1"/>
  <c r="B103" i="12"/>
  <c r="B103" i="3"/>
  <c r="B101" i="3"/>
  <c r="B99" i="3"/>
  <c r="K99" i="3" s="1"/>
  <c r="B95" i="3"/>
  <c r="B87" i="12"/>
  <c r="B85" i="12"/>
  <c r="B81" i="12"/>
  <c r="B107" i="14"/>
  <c r="B100" i="12"/>
  <c r="B96" i="12"/>
  <c r="B94" i="12"/>
  <c r="B92" i="12"/>
  <c r="B92" i="3"/>
  <c r="K92" i="3" s="1"/>
  <c r="B90" i="14"/>
  <c r="B86" i="12"/>
  <c r="B84" i="14"/>
  <c r="B82" i="14"/>
  <c r="B78" i="12"/>
  <c r="B78" i="3"/>
  <c r="B76" i="3"/>
  <c r="B72" i="14"/>
  <c r="B66" i="12"/>
  <c r="K66" i="12" s="1"/>
  <c r="B44" i="14"/>
  <c r="B75" i="12"/>
  <c r="K75" i="12" s="1"/>
  <c r="B71" i="12"/>
  <c r="B70" i="3"/>
  <c r="B64" i="12"/>
  <c r="K64" i="12" s="1"/>
  <c r="B53" i="3"/>
  <c r="B47" i="12"/>
  <c r="B44" i="3"/>
  <c r="B107" i="3"/>
  <c r="B104" i="14"/>
  <c r="B102" i="3"/>
  <c r="B98" i="12"/>
  <c r="B95" i="12"/>
  <c r="B93" i="14"/>
  <c r="B91" i="14"/>
  <c r="B88" i="12"/>
  <c r="B85" i="14"/>
  <c r="B80" i="14"/>
  <c r="B77" i="3"/>
  <c r="K77" i="3" s="1"/>
  <c r="B71" i="14"/>
  <c r="B65" i="14"/>
  <c r="B59" i="3"/>
  <c r="B52" i="12"/>
  <c r="B41" i="12"/>
  <c r="B68" i="14"/>
  <c r="B58" i="12"/>
  <c r="B42" i="12"/>
  <c r="B108" i="12"/>
  <c r="B108" i="14"/>
  <c r="B108" i="3"/>
  <c r="K108" i="3" s="1"/>
  <c r="B104" i="12"/>
  <c r="B104" i="3"/>
  <c r="K104" i="3" s="1"/>
  <c r="B101" i="12"/>
  <c r="B100" i="14"/>
  <c r="B100" i="3"/>
  <c r="B97" i="12"/>
  <c r="K97" i="12" s="1"/>
  <c r="B98" i="3"/>
  <c r="K98" i="3" s="1"/>
  <c r="B95" i="14"/>
  <c r="B93" i="12"/>
  <c r="B94" i="3"/>
  <c r="B91" i="12"/>
  <c r="B91" i="3"/>
  <c r="B90" i="3"/>
  <c r="B88" i="14"/>
  <c r="B86" i="14"/>
  <c r="K86" i="14" s="1"/>
  <c r="B85" i="3"/>
  <c r="B81" i="14"/>
  <c r="B79" i="12"/>
  <c r="B77" i="14"/>
  <c r="B74" i="12"/>
  <c r="B72" i="12"/>
  <c r="B70" i="12"/>
  <c r="B67" i="14"/>
  <c r="B63" i="14"/>
  <c r="B59" i="12"/>
  <c r="B57" i="14"/>
  <c r="B53" i="12"/>
  <c r="B51" i="14"/>
  <c r="B45" i="3"/>
  <c r="B65" i="12"/>
  <c r="B62" i="3"/>
  <c r="B56" i="14"/>
  <c r="B45" i="12"/>
  <c r="B97" i="2"/>
  <c r="B54" i="3"/>
  <c r="B49" i="3"/>
  <c r="B43" i="14"/>
  <c r="B41" i="3"/>
  <c r="B10" i="14"/>
  <c r="B96" i="2"/>
  <c r="B87" i="3"/>
  <c r="B86" i="3"/>
  <c r="B83" i="14"/>
  <c r="B83" i="3"/>
  <c r="B80" i="12"/>
  <c r="B81" i="3"/>
  <c r="B79" i="14"/>
  <c r="K79" i="14" s="1"/>
  <c r="B79" i="3"/>
  <c r="B76" i="12"/>
  <c r="B75" i="14"/>
  <c r="B75" i="3"/>
  <c r="B74" i="3"/>
  <c r="B73" i="3"/>
  <c r="B72" i="3"/>
  <c r="K72" i="3" s="1"/>
  <c r="B71" i="3"/>
  <c r="B69" i="3"/>
  <c r="B67" i="3"/>
  <c r="K67" i="3" s="1"/>
  <c r="B65" i="3"/>
  <c r="B63" i="3"/>
  <c r="B61" i="3"/>
  <c r="B59" i="14"/>
  <c r="B57" i="12"/>
  <c r="B57" i="3"/>
  <c r="B55" i="3"/>
  <c r="B53" i="14"/>
  <c r="B51" i="12"/>
  <c r="B49" i="14"/>
  <c r="K49" i="14" s="1"/>
  <c r="B48" i="3"/>
  <c r="B43" i="3"/>
  <c r="B68" i="3"/>
  <c r="B64" i="14"/>
  <c r="B62" i="14"/>
  <c r="B60" i="14"/>
  <c r="B58" i="3"/>
  <c r="K58" i="3" s="1"/>
  <c r="B56" i="3"/>
  <c r="B52" i="3"/>
  <c r="B50" i="3"/>
  <c r="B46" i="14"/>
  <c r="B44" i="12"/>
  <c r="B42" i="3"/>
  <c r="B10" i="3"/>
  <c r="B89" i="2"/>
  <c r="B67" i="12"/>
  <c r="B66" i="14"/>
  <c r="B66" i="3"/>
  <c r="B63" i="12"/>
  <c r="B62" i="12"/>
  <c r="B61" i="12"/>
  <c r="B60" i="12"/>
  <c r="B60" i="3"/>
  <c r="B58" i="14"/>
  <c r="B56" i="12"/>
  <c r="B55" i="12"/>
  <c r="B54" i="12"/>
  <c r="B52" i="14"/>
  <c r="B50" i="12"/>
  <c r="K50" i="12" s="1"/>
  <c r="B49" i="12"/>
  <c r="B48" i="14"/>
  <c r="B46" i="12"/>
  <c r="B47" i="3"/>
  <c r="B46" i="3"/>
  <c r="B43" i="12"/>
  <c r="B41" i="14"/>
  <c r="B101" i="2"/>
  <c r="B93" i="2"/>
  <c r="B85" i="2"/>
  <c r="B104" i="2"/>
  <c r="B88" i="2"/>
  <c r="B88" i="1"/>
  <c r="B87" i="1"/>
  <c r="B107" i="2"/>
  <c r="B106" i="2"/>
  <c r="B100" i="2"/>
  <c r="B92" i="2"/>
  <c r="B93" i="1"/>
  <c r="B104" i="1"/>
  <c r="B103" i="1"/>
  <c r="B10" i="1"/>
  <c r="B96" i="1"/>
  <c r="B95" i="1"/>
  <c r="B106" i="1"/>
  <c r="K106" i="1" s="1"/>
  <c r="B103" i="2"/>
  <c r="B99" i="2"/>
  <c r="B95" i="2"/>
  <c r="B91" i="2"/>
  <c r="K91" i="2" s="1"/>
  <c r="B87" i="2"/>
  <c r="B108" i="2"/>
  <c r="K108" i="2" s="1"/>
  <c r="B105" i="2"/>
  <c r="B102" i="2"/>
  <c r="K102" i="2" s="1"/>
  <c r="B98" i="2"/>
  <c r="B94" i="2"/>
  <c r="B90" i="2"/>
  <c r="B86" i="2"/>
  <c r="K86" i="2" s="1"/>
  <c r="B89" i="1"/>
  <c r="B105" i="1"/>
  <c r="B97" i="1"/>
  <c r="B101" i="1"/>
  <c r="B85" i="1"/>
  <c r="B108" i="1"/>
  <c r="B100" i="1"/>
  <c r="K100" i="1" s="1"/>
  <c r="B92" i="1"/>
  <c r="B107" i="1"/>
  <c r="B99" i="1"/>
  <c r="K99" i="1" s="1"/>
  <c r="B91" i="1"/>
  <c r="B90" i="1"/>
  <c r="B98" i="1"/>
  <c r="M10" i="13"/>
  <c r="F10" i="13"/>
  <c r="G10" i="13" s="1"/>
  <c r="H10" i="13" s="1"/>
  <c r="B102" i="1"/>
  <c r="B94" i="1"/>
  <c r="B86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I106" i="3"/>
  <c r="A17" i="11"/>
  <c r="A25" i="5"/>
  <c r="F10" i="2"/>
  <c r="G10" i="2" s="1"/>
  <c r="H10" i="2" s="1"/>
  <c r="M10" i="2"/>
  <c r="I86" i="1" l="1"/>
  <c r="K86" i="1"/>
  <c r="D83" i="16" s="1"/>
  <c r="A83" i="16" s="1"/>
  <c r="J102" i="1"/>
  <c r="K102" i="1"/>
  <c r="D99" i="16" s="1"/>
  <c r="A99" i="16" s="1"/>
  <c r="I90" i="1"/>
  <c r="K90" i="1"/>
  <c r="D87" i="16" s="1"/>
  <c r="A87" i="16" s="1"/>
  <c r="I92" i="1"/>
  <c r="K92" i="1"/>
  <c r="D89" i="16" s="1"/>
  <c r="A89" i="16" s="1"/>
  <c r="I108" i="1"/>
  <c r="K108" i="1"/>
  <c r="G101" i="1"/>
  <c r="K101" i="1"/>
  <c r="D98" i="16" s="1"/>
  <c r="A98" i="16" s="1"/>
  <c r="G105" i="1"/>
  <c r="K105" i="1"/>
  <c r="D102" i="16" s="1"/>
  <c r="A102" i="16" s="1"/>
  <c r="F94" i="2"/>
  <c r="K94" i="2"/>
  <c r="E91" i="16" s="1"/>
  <c r="J99" i="2"/>
  <c r="K99" i="2"/>
  <c r="E96" i="16" s="1"/>
  <c r="K96" i="1"/>
  <c r="D93" i="16" s="1"/>
  <c r="A93" i="16" s="1"/>
  <c r="G103" i="1"/>
  <c r="K103" i="1"/>
  <c r="I93" i="1"/>
  <c r="K93" i="1"/>
  <c r="D90" i="16" s="1"/>
  <c r="A90" i="16" s="1"/>
  <c r="M100" i="2"/>
  <c r="K100" i="2"/>
  <c r="E97" i="16" s="1"/>
  <c r="G107" i="2"/>
  <c r="K107" i="2"/>
  <c r="E104" i="16" s="1"/>
  <c r="K88" i="1"/>
  <c r="D85" i="16" s="1"/>
  <c r="A85" i="16" s="1"/>
  <c r="M104" i="2"/>
  <c r="K104" i="2"/>
  <c r="E101" i="16" s="1"/>
  <c r="J93" i="2"/>
  <c r="K93" i="2"/>
  <c r="E90" i="16" s="1"/>
  <c r="M41" i="14"/>
  <c r="K41" i="14"/>
  <c r="I38" i="16" s="1"/>
  <c r="G46" i="3"/>
  <c r="K46" i="3"/>
  <c r="J43" i="16" s="1"/>
  <c r="K46" i="12"/>
  <c r="G43" i="16" s="1"/>
  <c r="C43" i="16" s="1"/>
  <c r="F49" i="12"/>
  <c r="K49" i="12"/>
  <c r="G46" i="16" s="1"/>
  <c r="C46" i="16" s="1"/>
  <c r="H52" i="14"/>
  <c r="K52" i="14"/>
  <c r="I49" i="16" s="1"/>
  <c r="G55" i="12"/>
  <c r="K55" i="12"/>
  <c r="G52" i="16" s="1"/>
  <c r="C52" i="16" s="1"/>
  <c r="H58" i="14"/>
  <c r="K58" i="14"/>
  <c r="G60" i="12"/>
  <c r="K60" i="12"/>
  <c r="G57" i="16" s="1"/>
  <c r="C57" i="16" s="1"/>
  <c r="H62" i="12"/>
  <c r="K62" i="12"/>
  <c r="G59" i="16" s="1"/>
  <c r="C59" i="16" s="1"/>
  <c r="K66" i="3"/>
  <c r="J63" i="16" s="1"/>
  <c r="K67" i="12"/>
  <c r="G64" i="16" s="1"/>
  <c r="C64" i="16" s="1"/>
  <c r="J44" i="12"/>
  <c r="K44" i="12"/>
  <c r="G41" i="16" s="1"/>
  <c r="C41" i="16" s="1"/>
  <c r="K50" i="3"/>
  <c r="J47" i="16" s="1"/>
  <c r="G56" i="3"/>
  <c r="K56" i="3"/>
  <c r="J53" i="16" s="1"/>
  <c r="K60" i="14"/>
  <c r="I57" i="16" s="1"/>
  <c r="M64" i="14"/>
  <c r="K64" i="14"/>
  <c r="I61" i="16" s="1"/>
  <c r="M43" i="3"/>
  <c r="K43" i="3"/>
  <c r="J40" i="16" s="1"/>
  <c r="K53" i="14"/>
  <c r="I50" i="16" s="1"/>
  <c r="I57" i="3"/>
  <c r="K57" i="3"/>
  <c r="J54" i="16" s="1"/>
  <c r="I59" i="14"/>
  <c r="K59" i="14"/>
  <c r="I56" i="16" s="1"/>
  <c r="F63" i="3"/>
  <c r="K63" i="3"/>
  <c r="J60" i="16" s="1"/>
  <c r="G71" i="3"/>
  <c r="K71" i="3"/>
  <c r="J68" i="16" s="1"/>
  <c r="M73" i="3"/>
  <c r="K73" i="3"/>
  <c r="J70" i="16" s="1"/>
  <c r="K75" i="3"/>
  <c r="J72" i="16" s="1"/>
  <c r="J76" i="12"/>
  <c r="K76" i="12"/>
  <c r="G73" i="16" s="1"/>
  <c r="C73" i="16" s="1"/>
  <c r="G80" i="12"/>
  <c r="K80" i="12"/>
  <c r="G77" i="16" s="1"/>
  <c r="C77" i="16" s="1"/>
  <c r="M83" i="14"/>
  <c r="K83" i="14"/>
  <c r="I87" i="3"/>
  <c r="K87" i="3"/>
  <c r="J84" i="16" s="1"/>
  <c r="H43" i="14"/>
  <c r="K43" i="14"/>
  <c r="I40" i="16" s="1"/>
  <c r="J54" i="3"/>
  <c r="K54" i="3"/>
  <c r="J51" i="16" s="1"/>
  <c r="J45" i="12"/>
  <c r="K45" i="12"/>
  <c r="G42" i="16" s="1"/>
  <c r="C42" i="16" s="1"/>
  <c r="J62" i="3"/>
  <c r="K62" i="3"/>
  <c r="J59" i="16" s="1"/>
  <c r="J45" i="3"/>
  <c r="K45" i="3"/>
  <c r="I53" i="12"/>
  <c r="K53" i="12"/>
  <c r="G50" i="16" s="1"/>
  <c r="C50" i="16" s="1"/>
  <c r="J59" i="12"/>
  <c r="K59" i="12"/>
  <c r="G56" i="16" s="1"/>
  <c r="C56" i="16" s="1"/>
  <c r="J67" i="14"/>
  <c r="K67" i="14"/>
  <c r="I64" i="16" s="1"/>
  <c r="J72" i="12"/>
  <c r="K72" i="12"/>
  <c r="G69" i="16" s="1"/>
  <c r="C69" i="16" s="1"/>
  <c r="J77" i="14"/>
  <c r="K77" i="14"/>
  <c r="F81" i="14"/>
  <c r="K81" i="14"/>
  <c r="I78" i="16" s="1"/>
  <c r="H90" i="3"/>
  <c r="K90" i="3"/>
  <c r="J87" i="16" s="1"/>
  <c r="G91" i="12"/>
  <c r="K91" i="12"/>
  <c r="G88" i="16" s="1"/>
  <c r="C88" i="16" s="1"/>
  <c r="I93" i="12"/>
  <c r="K93" i="12"/>
  <c r="G90" i="16" s="1"/>
  <c r="C90" i="16" s="1"/>
  <c r="F100" i="3"/>
  <c r="K100" i="3"/>
  <c r="J97" i="16" s="1"/>
  <c r="K101" i="12"/>
  <c r="G98" i="16" s="1"/>
  <c r="C98" i="16" s="1"/>
  <c r="H104" i="12"/>
  <c r="K104" i="12"/>
  <c r="G101" i="16" s="1"/>
  <c r="C101" i="16" s="1"/>
  <c r="J108" i="14"/>
  <c r="K108" i="14"/>
  <c r="M42" i="12"/>
  <c r="K42" i="12"/>
  <c r="G39" i="16" s="1"/>
  <c r="C39" i="16" s="1"/>
  <c r="G68" i="14"/>
  <c r="K68" i="14"/>
  <c r="I65" i="16" s="1"/>
  <c r="G52" i="12"/>
  <c r="K52" i="12"/>
  <c r="G49" i="16" s="1"/>
  <c r="C49" i="16" s="1"/>
  <c r="F65" i="14"/>
  <c r="K65" i="14"/>
  <c r="I62" i="16" s="1"/>
  <c r="J85" i="14"/>
  <c r="K85" i="14"/>
  <c r="I82" i="16" s="1"/>
  <c r="M91" i="14"/>
  <c r="K91" i="14"/>
  <c r="I88" i="16" s="1"/>
  <c r="I95" i="12"/>
  <c r="K95" i="12"/>
  <c r="G92" i="16" s="1"/>
  <c r="C92" i="16" s="1"/>
  <c r="F102" i="3"/>
  <c r="K102" i="3"/>
  <c r="J99" i="16" s="1"/>
  <c r="K107" i="3"/>
  <c r="J104" i="16" s="1"/>
  <c r="J47" i="12"/>
  <c r="K47" i="12"/>
  <c r="G71" i="12"/>
  <c r="K71" i="12"/>
  <c r="I44" i="14"/>
  <c r="K44" i="14"/>
  <c r="I41" i="16" s="1"/>
  <c r="H72" i="14"/>
  <c r="K72" i="14"/>
  <c r="I69" i="16" s="1"/>
  <c r="I78" i="3"/>
  <c r="K78" i="3"/>
  <c r="J75" i="16" s="1"/>
  <c r="K82" i="14"/>
  <c r="I79" i="16" s="1"/>
  <c r="J86" i="12"/>
  <c r="K86" i="12"/>
  <c r="G83" i="16" s="1"/>
  <c r="C83" i="16" s="1"/>
  <c r="J94" i="12"/>
  <c r="K94" i="12"/>
  <c r="G91" i="16" s="1"/>
  <c r="C91" i="16" s="1"/>
  <c r="G100" i="12"/>
  <c r="K100" i="12"/>
  <c r="G97" i="16" s="1"/>
  <c r="C97" i="16" s="1"/>
  <c r="J81" i="12"/>
  <c r="K81" i="12"/>
  <c r="G78" i="16" s="1"/>
  <c r="C78" i="16" s="1"/>
  <c r="K87" i="12"/>
  <c r="G84" i="16" s="1"/>
  <c r="C84" i="16" s="1"/>
  <c r="G103" i="3"/>
  <c r="K103" i="3"/>
  <c r="J100" i="16" s="1"/>
  <c r="J64" i="3"/>
  <c r="K64" i="3"/>
  <c r="J61" i="16" s="1"/>
  <c r="K61" i="14"/>
  <c r="I58" i="16" s="1"/>
  <c r="I82" i="12"/>
  <c r="K82" i="12"/>
  <c r="G79" i="16" s="1"/>
  <c r="C79" i="16" s="1"/>
  <c r="G96" i="3"/>
  <c r="K96" i="3"/>
  <c r="J93" i="16" s="1"/>
  <c r="J50" i="14"/>
  <c r="K50" i="14"/>
  <c r="I47" i="16" s="1"/>
  <c r="M80" i="3"/>
  <c r="K80" i="3"/>
  <c r="J77" i="16" s="1"/>
  <c r="J102" i="14"/>
  <c r="K102" i="14"/>
  <c r="I99" i="16" s="1"/>
  <c r="M69" i="12"/>
  <c r="K69" i="12"/>
  <c r="G66" i="16" s="1"/>
  <c r="C66" i="16" s="1"/>
  <c r="K70" i="14"/>
  <c r="I67" i="16" s="1"/>
  <c r="G82" i="3"/>
  <c r="K82" i="3"/>
  <c r="J79" i="16" s="1"/>
  <c r="M90" i="12"/>
  <c r="K90" i="12"/>
  <c r="G87" i="16" s="1"/>
  <c r="C87" i="16" s="1"/>
  <c r="K98" i="14"/>
  <c r="I95" i="16" s="1"/>
  <c r="F87" i="14"/>
  <c r="K87" i="14"/>
  <c r="I84" i="16" s="1"/>
  <c r="M106" i="12"/>
  <c r="K106" i="12"/>
  <c r="G103" i="16" s="1"/>
  <c r="C103" i="16" s="1"/>
  <c r="G89" i="3"/>
  <c r="K89" i="3"/>
  <c r="J86" i="16" s="1"/>
  <c r="G51" i="3"/>
  <c r="K51" i="3"/>
  <c r="J48" i="16" s="1"/>
  <c r="M74" i="14"/>
  <c r="K74" i="14"/>
  <c r="I71" i="16" s="1"/>
  <c r="I92" i="14"/>
  <c r="K92" i="14"/>
  <c r="I89" i="16" s="1"/>
  <c r="I89" i="12"/>
  <c r="K89" i="12"/>
  <c r="G86" i="16" s="1"/>
  <c r="C86" i="16" s="1"/>
  <c r="G97" i="14"/>
  <c r="K97" i="14"/>
  <c r="I94" i="16" s="1"/>
  <c r="J99" i="12"/>
  <c r="K99" i="12"/>
  <c r="G96" i="16" s="1"/>
  <c r="C96" i="16" s="1"/>
  <c r="K83" i="12"/>
  <c r="G80" i="16" s="1"/>
  <c r="C80" i="16" s="1"/>
  <c r="F94" i="1"/>
  <c r="K94" i="1"/>
  <c r="D91" i="16" s="1"/>
  <c r="A91" i="16" s="1"/>
  <c r="J98" i="1"/>
  <c r="K98" i="1"/>
  <c r="D95" i="16" s="1"/>
  <c r="A95" i="16" s="1"/>
  <c r="G91" i="1"/>
  <c r="K91" i="1"/>
  <c r="D88" i="16" s="1"/>
  <c r="A88" i="16" s="1"/>
  <c r="G107" i="1"/>
  <c r="K107" i="1"/>
  <c r="D104" i="16" s="1"/>
  <c r="A104" i="16" s="1"/>
  <c r="K85" i="1"/>
  <c r="D82" i="16" s="1"/>
  <c r="A82" i="16" s="1"/>
  <c r="G97" i="1"/>
  <c r="K97" i="1"/>
  <c r="D94" i="16" s="1"/>
  <c r="A94" i="16" s="1"/>
  <c r="H89" i="1"/>
  <c r="K89" i="1"/>
  <c r="D86" i="16" s="1"/>
  <c r="A86" i="16" s="1"/>
  <c r="M90" i="2"/>
  <c r="K90" i="2"/>
  <c r="E87" i="16" s="1"/>
  <c r="M98" i="2"/>
  <c r="K98" i="2"/>
  <c r="E95" i="16" s="1"/>
  <c r="H105" i="2"/>
  <c r="K105" i="2"/>
  <c r="E102" i="16" s="1"/>
  <c r="K87" i="2"/>
  <c r="E84" i="16" s="1"/>
  <c r="H95" i="2"/>
  <c r="K95" i="2"/>
  <c r="E92" i="16" s="1"/>
  <c r="H103" i="2"/>
  <c r="K103" i="2"/>
  <c r="E100" i="16" s="1"/>
  <c r="H95" i="1"/>
  <c r="K95" i="1"/>
  <c r="D92" i="16" s="1"/>
  <c r="A92" i="16" s="1"/>
  <c r="F104" i="1"/>
  <c r="K104" i="1"/>
  <c r="M92" i="2"/>
  <c r="K92" i="2"/>
  <c r="E89" i="16" s="1"/>
  <c r="F106" i="2"/>
  <c r="K106" i="2"/>
  <c r="E103" i="16" s="1"/>
  <c r="I87" i="1"/>
  <c r="K87" i="1"/>
  <c r="D84" i="16" s="1"/>
  <c r="A84" i="16" s="1"/>
  <c r="F88" i="2"/>
  <c r="K88" i="2"/>
  <c r="E85" i="16" s="1"/>
  <c r="H85" i="2"/>
  <c r="K85" i="2"/>
  <c r="K101" i="2"/>
  <c r="E98" i="16" s="1"/>
  <c r="I43" i="12"/>
  <c r="K43" i="12"/>
  <c r="G40" i="16" s="1"/>
  <c r="C40" i="16" s="1"/>
  <c r="K47" i="3"/>
  <c r="J44" i="16" s="1"/>
  <c r="G48" i="14"/>
  <c r="K48" i="14"/>
  <c r="I45" i="16" s="1"/>
  <c r="F54" i="12"/>
  <c r="K54" i="12"/>
  <c r="I56" i="12"/>
  <c r="K56" i="12"/>
  <c r="G53" i="16" s="1"/>
  <c r="C53" i="16" s="1"/>
  <c r="K60" i="3"/>
  <c r="J57" i="16" s="1"/>
  <c r="G61" i="12"/>
  <c r="K61" i="12"/>
  <c r="G58" i="16" s="1"/>
  <c r="C58" i="16" s="1"/>
  <c r="H63" i="12"/>
  <c r="K63" i="12"/>
  <c r="G60" i="16" s="1"/>
  <c r="C60" i="16" s="1"/>
  <c r="G66" i="14"/>
  <c r="K66" i="14"/>
  <c r="I63" i="16" s="1"/>
  <c r="M89" i="2"/>
  <c r="K89" i="2"/>
  <c r="E86" i="16" s="1"/>
  <c r="K42" i="3"/>
  <c r="J39" i="16" s="1"/>
  <c r="F46" i="14"/>
  <c r="K46" i="14"/>
  <c r="I43" i="16" s="1"/>
  <c r="M52" i="3"/>
  <c r="K52" i="3"/>
  <c r="J49" i="16" s="1"/>
  <c r="K62" i="14"/>
  <c r="I59" i="16" s="1"/>
  <c r="I68" i="3"/>
  <c r="K68" i="3"/>
  <c r="J65" i="16" s="1"/>
  <c r="I48" i="3"/>
  <c r="K48" i="3"/>
  <c r="J45" i="16" s="1"/>
  <c r="F51" i="12"/>
  <c r="K51" i="12"/>
  <c r="G48" i="16" s="1"/>
  <c r="C48" i="16" s="1"/>
  <c r="F55" i="3"/>
  <c r="K55" i="3"/>
  <c r="J52" i="16" s="1"/>
  <c r="M57" i="12"/>
  <c r="K57" i="12"/>
  <c r="G54" i="16" s="1"/>
  <c r="C54" i="16" s="1"/>
  <c r="H61" i="3"/>
  <c r="K61" i="3"/>
  <c r="J58" i="16" s="1"/>
  <c r="G65" i="3"/>
  <c r="K65" i="3"/>
  <c r="J62" i="16" s="1"/>
  <c r="H69" i="3"/>
  <c r="K69" i="3"/>
  <c r="J66" i="16" s="1"/>
  <c r="G74" i="3"/>
  <c r="K74" i="3"/>
  <c r="J71" i="16" s="1"/>
  <c r="J75" i="14"/>
  <c r="K75" i="14"/>
  <c r="I72" i="16" s="1"/>
  <c r="I79" i="3"/>
  <c r="K79" i="3"/>
  <c r="J76" i="16" s="1"/>
  <c r="M81" i="3"/>
  <c r="K81" i="3"/>
  <c r="J78" i="16" s="1"/>
  <c r="K83" i="3"/>
  <c r="J80" i="16" s="1"/>
  <c r="G86" i="3"/>
  <c r="K86" i="3"/>
  <c r="J83" i="16" s="1"/>
  <c r="I96" i="2"/>
  <c r="K96" i="2"/>
  <c r="E93" i="16" s="1"/>
  <c r="H41" i="3"/>
  <c r="K41" i="3"/>
  <c r="J38" i="16" s="1"/>
  <c r="G49" i="3"/>
  <c r="K49" i="3"/>
  <c r="J46" i="16" s="1"/>
  <c r="M97" i="2"/>
  <c r="K97" i="2"/>
  <c r="E94" i="16" s="1"/>
  <c r="G56" i="14"/>
  <c r="K56" i="14"/>
  <c r="I53" i="16" s="1"/>
  <c r="G65" i="12"/>
  <c r="K65" i="12"/>
  <c r="G62" i="16" s="1"/>
  <c r="C62" i="16" s="1"/>
  <c r="H51" i="14"/>
  <c r="K51" i="14"/>
  <c r="I48" i="16" s="1"/>
  <c r="F57" i="14"/>
  <c r="K57" i="14"/>
  <c r="I54" i="16" s="1"/>
  <c r="H63" i="14"/>
  <c r="K63" i="14"/>
  <c r="I60" i="16" s="1"/>
  <c r="I70" i="12"/>
  <c r="K70" i="12"/>
  <c r="G67" i="16" s="1"/>
  <c r="C67" i="16" s="1"/>
  <c r="M74" i="12"/>
  <c r="K74" i="12"/>
  <c r="G71" i="16" s="1"/>
  <c r="C71" i="16" s="1"/>
  <c r="H79" i="12"/>
  <c r="K79" i="12"/>
  <c r="G76" i="16" s="1"/>
  <c r="C76" i="16" s="1"/>
  <c r="F85" i="3"/>
  <c r="K85" i="3"/>
  <c r="J82" i="16" s="1"/>
  <c r="H88" i="14"/>
  <c r="K88" i="14"/>
  <c r="I85" i="16" s="1"/>
  <c r="H91" i="3"/>
  <c r="K91" i="3"/>
  <c r="J88" i="16" s="1"/>
  <c r="H94" i="3"/>
  <c r="K94" i="3"/>
  <c r="J91" i="16" s="1"/>
  <c r="H95" i="14"/>
  <c r="K95" i="14"/>
  <c r="I92" i="16" s="1"/>
  <c r="I100" i="14"/>
  <c r="K100" i="14"/>
  <c r="I97" i="16" s="1"/>
  <c r="J108" i="12"/>
  <c r="K108" i="12"/>
  <c r="G58" i="12"/>
  <c r="K58" i="12"/>
  <c r="G55" i="16" s="1"/>
  <c r="C55" i="16" s="1"/>
  <c r="H41" i="12"/>
  <c r="K41" i="12"/>
  <c r="G38" i="16" s="1"/>
  <c r="C38" i="16" s="1"/>
  <c r="K59" i="3"/>
  <c r="J56" i="16" s="1"/>
  <c r="H71" i="14"/>
  <c r="K71" i="14"/>
  <c r="I68" i="16" s="1"/>
  <c r="J80" i="14"/>
  <c r="K80" i="14"/>
  <c r="I77" i="16" s="1"/>
  <c r="M88" i="12"/>
  <c r="K88" i="12"/>
  <c r="G85" i="16" s="1"/>
  <c r="C85" i="16" s="1"/>
  <c r="K93" i="14"/>
  <c r="I90" i="16" s="1"/>
  <c r="M98" i="12"/>
  <c r="K98" i="12"/>
  <c r="G95" i="16" s="1"/>
  <c r="C95" i="16" s="1"/>
  <c r="M104" i="14"/>
  <c r="K104" i="14"/>
  <c r="F44" i="3"/>
  <c r="K44" i="3"/>
  <c r="J41" i="16" s="1"/>
  <c r="G53" i="3"/>
  <c r="K53" i="3"/>
  <c r="J50" i="16" s="1"/>
  <c r="I70" i="3"/>
  <c r="K70" i="3"/>
  <c r="J67" i="16" s="1"/>
  <c r="H76" i="3"/>
  <c r="K76" i="3"/>
  <c r="J73" i="16" s="1"/>
  <c r="G78" i="12"/>
  <c r="K78" i="12"/>
  <c r="G75" i="16" s="1"/>
  <c r="C75" i="16" s="1"/>
  <c r="M84" i="14"/>
  <c r="K84" i="14"/>
  <c r="I81" i="16" s="1"/>
  <c r="H90" i="14"/>
  <c r="K90" i="14"/>
  <c r="I87" i="16" s="1"/>
  <c r="H92" i="12"/>
  <c r="K92" i="12"/>
  <c r="G89" i="16" s="1"/>
  <c r="C89" i="16" s="1"/>
  <c r="I96" i="12"/>
  <c r="K96" i="12"/>
  <c r="G93" i="16" s="1"/>
  <c r="C93" i="16" s="1"/>
  <c r="K107" i="14"/>
  <c r="I104" i="16" s="1"/>
  <c r="I85" i="12"/>
  <c r="K85" i="12"/>
  <c r="G82" i="16" s="1"/>
  <c r="C82" i="16" s="1"/>
  <c r="F95" i="3"/>
  <c r="K95" i="3"/>
  <c r="J92" i="16" s="1"/>
  <c r="I101" i="3"/>
  <c r="K101" i="3"/>
  <c r="J98" i="16" s="1"/>
  <c r="I103" i="12"/>
  <c r="K103" i="12"/>
  <c r="G100" i="16" s="1"/>
  <c r="C100" i="16" s="1"/>
  <c r="J106" i="14"/>
  <c r="K106" i="14"/>
  <c r="I103" i="16" s="1"/>
  <c r="G48" i="12"/>
  <c r="K48" i="12"/>
  <c r="G45" i="16" s="1"/>
  <c r="C45" i="16" s="1"/>
  <c r="K73" i="14"/>
  <c r="I70" i="16" s="1"/>
  <c r="F89" i="14"/>
  <c r="K89" i="14"/>
  <c r="I86" i="16" s="1"/>
  <c r="F99" i="14"/>
  <c r="K99" i="14"/>
  <c r="I96" i="16" s="1"/>
  <c r="H93" i="3"/>
  <c r="K93" i="3"/>
  <c r="J90" i="16" s="1"/>
  <c r="M107" i="12"/>
  <c r="K107" i="12"/>
  <c r="G104" i="16" s="1"/>
  <c r="C104" i="16" s="1"/>
  <c r="M54" i="14"/>
  <c r="K54" i="14"/>
  <c r="I51" i="16" s="1"/>
  <c r="M42" i="14"/>
  <c r="K42" i="14"/>
  <c r="I39" i="16" s="1"/>
  <c r="J84" i="12"/>
  <c r="K84" i="12"/>
  <c r="G81" i="16" s="1"/>
  <c r="C81" i="16" s="1"/>
  <c r="K77" i="12"/>
  <c r="G74" i="16" s="1"/>
  <c r="C74" i="16" s="1"/>
  <c r="I97" i="3"/>
  <c r="K97" i="3"/>
  <c r="J94" i="16" s="1"/>
  <c r="M105" i="3"/>
  <c r="K105" i="3"/>
  <c r="J102" i="16" s="1"/>
  <c r="M69" i="14"/>
  <c r="K69" i="14"/>
  <c r="I66" i="16" s="1"/>
  <c r="K106" i="3"/>
  <c r="J103" i="16" s="1"/>
  <c r="I73" i="12"/>
  <c r="K73" i="12"/>
  <c r="G70" i="16" s="1"/>
  <c r="C70" i="16" s="1"/>
  <c r="I102" i="12"/>
  <c r="K102" i="12"/>
  <c r="G99" i="16" s="1"/>
  <c r="C99" i="16" s="1"/>
  <c r="J103" i="14"/>
  <c r="K103" i="14"/>
  <c r="I100" i="16" s="1"/>
  <c r="I68" i="12"/>
  <c r="K68" i="12"/>
  <c r="G65" i="16" s="1"/>
  <c r="C65" i="16" s="1"/>
  <c r="M96" i="14"/>
  <c r="K96" i="14"/>
  <c r="I93" i="16" s="1"/>
  <c r="J88" i="3"/>
  <c r="K88" i="3"/>
  <c r="J85" i="16" s="1"/>
  <c r="F10" i="12"/>
  <c r="G10" i="12" s="1"/>
  <c r="H10" i="12" s="1"/>
  <c r="M10" i="12"/>
  <c r="M102" i="12"/>
  <c r="I96" i="14"/>
  <c r="H60" i="14"/>
  <c r="J103" i="1"/>
  <c r="M45" i="12"/>
  <c r="I45" i="3"/>
  <c r="M50" i="14"/>
  <c r="F64" i="3"/>
  <c r="F50" i="3"/>
  <c r="G54" i="3"/>
  <c r="G64" i="14"/>
  <c r="F102" i="1"/>
  <c r="I88" i="1"/>
  <c r="F43" i="14"/>
  <c r="F44" i="12"/>
  <c r="I45" i="12"/>
  <c r="I54" i="3"/>
  <c r="M56" i="3"/>
  <c r="F60" i="14"/>
  <c r="I64" i="3"/>
  <c r="J64" i="14"/>
  <c r="J68" i="14"/>
  <c r="F45" i="3"/>
  <c r="M53" i="12"/>
  <c r="H53" i="12"/>
  <c r="G59" i="12"/>
  <c r="H59" i="12"/>
  <c r="M67" i="14"/>
  <c r="I67" i="14"/>
  <c r="I72" i="12"/>
  <c r="H72" i="12"/>
  <c r="F72" i="12"/>
  <c r="H77" i="14"/>
  <c r="F77" i="14"/>
  <c r="I81" i="14"/>
  <c r="H81" i="14"/>
  <c r="M81" i="14"/>
  <c r="G86" i="14"/>
  <c r="F86" i="14"/>
  <c r="I86" i="14"/>
  <c r="J90" i="3"/>
  <c r="M90" i="3"/>
  <c r="J91" i="12"/>
  <c r="I91" i="12"/>
  <c r="J93" i="12"/>
  <c r="G93" i="12"/>
  <c r="J98" i="3"/>
  <c r="H98" i="3"/>
  <c r="F98" i="3"/>
  <c r="J100" i="3"/>
  <c r="G100" i="3"/>
  <c r="J101" i="12"/>
  <c r="I101" i="12"/>
  <c r="M101" i="12"/>
  <c r="I104" i="12"/>
  <c r="J104" i="12"/>
  <c r="G104" i="12"/>
  <c r="M108" i="14"/>
  <c r="I108" i="14"/>
  <c r="H42" i="12"/>
  <c r="I42" i="12"/>
  <c r="I52" i="12"/>
  <c r="J52" i="12"/>
  <c r="J65" i="14"/>
  <c r="M65" i="14"/>
  <c r="G65" i="14"/>
  <c r="J77" i="3"/>
  <c r="H77" i="3"/>
  <c r="F77" i="3"/>
  <c r="F85" i="14"/>
  <c r="G85" i="14"/>
  <c r="I85" i="14"/>
  <c r="M61" i="14"/>
  <c r="J61" i="14"/>
  <c r="I61" i="14"/>
  <c r="J82" i="12"/>
  <c r="M82" i="12"/>
  <c r="J80" i="3"/>
  <c r="I80" i="3"/>
  <c r="F80" i="3"/>
  <c r="M47" i="14"/>
  <c r="J47" i="14"/>
  <c r="G47" i="14"/>
  <c r="J69" i="12"/>
  <c r="I69" i="12"/>
  <c r="H69" i="12"/>
  <c r="M70" i="14"/>
  <c r="H70" i="14"/>
  <c r="J82" i="3"/>
  <c r="H82" i="3"/>
  <c r="I90" i="12"/>
  <c r="F90" i="12"/>
  <c r="H90" i="12"/>
  <c r="M98" i="14"/>
  <c r="J98" i="14"/>
  <c r="I98" i="14"/>
  <c r="J87" i="14"/>
  <c r="M87" i="14"/>
  <c r="H87" i="14"/>
  <c r="M101" i="14"/>
  <c r="I98" i="16"/>
  <c r="F101" i="14"/>
  <c r="J51" i="3"/>
  <c r="I74" i="14"/>
  <c r="G74" i="14"/>
  <c r="M92" i="14"/>
  <c r="J92" i="14"/>
  <c r="H92" i="14"/>
  <c r="J89" i="12"/>
  <c r="M78" i="14"/>
  <c r="I75" i="16"/>
  <c r="G78" i="14"/>
  <c r="I99" i="12"/>
  <c r="H99" i="12"/>
  <c r="F99" i="12"/>
  <c r="J83" i="12"/>
  <c r="I83" i="12"/>
  <c r="M83" i="12"/>
  <c r="J95" i="1"/>
  <c r="J104" i="1"/>
  <c r="F105" i="1"/>
  <c r="M43" i="14"/>
  <c r="H44" i="12"/>
  <c r="I50" i="3"/>
  <c r="F50" i="14"/>
  <c r="G50" i="14"/>
  <c r="H54" i="3"/>
  <c r="H56" i="3"/>
  <c r="I62" i="3"/>
  <c r="F62" i="3"/>
  <c r="I64" i="14"/>
  <c r="F68" i="14"/>
  <c r="M68" i="14"/>
  <c r="G45" i="3"/>
  <c r="F52" i="12"/>
  <c r="H52" i="12"/>
  <c r="M59" i="12"/>
  <c r="H65" i="14"/>
  <c r="H67" i="14"/>
  <c r="M72" i="12"/>
  <c r="J74" i="16"/>
  <c r="I77" i="14"/>
  <c r="I83" i="16"/>
  <c r="M98" i="3"/>
  <c r="H100" i="3"/>
  <c r="F104" i="12"/>
  <c r="H108" i="14"/>
  <c r="F42" i="12"/>
  <c r="I47" i="14"/>
  <c r="F51" i="3"/>
  <c r="F70" i="14"/>
  <c r="F74" i="14"/>
  <c r="H78" i="14"/>
  <c r="J90" i="12"/>
  <c r="H89" i="12"/>
  <c r="M99" i="12"/>
  <c r="J101" i="14"/>
  <c r="I91" i="3"/>
  <c r="G94" i="3"/>
  <c r="G95" i="14"/>
  <c r="G96" i="2"/>
  <c r="G93" i="2"/>
  <c r="F68" i="12"/>
  <c r="J73" i="12"/>
  <c r="J98" i="12"/>
  <c r="I92" i="12"/>
  <c r="G96" i="12"/>
  <c r="G107" i="14"/>
  <c r="M85" i="12"/>
  <c r="M95" i="3"/>
  <c r="G86" i="1"/>
  <c r="H102" i="1"/>
  <c r="I95" i="1"/>
  <c r="I103" i="1"/>
  <c r="H104" i="1"/>
  <c r="I105" i="1"/>
  <c r="M102" i="1"/>
  <c r="M88" i="1"/>
  <c r="G104" i="1"/>
  <c r="F104" i="2"/>
  <c r="I85" i="2"/>
  <c r="J85" i="2"/>
  <c r="F101" i="2"/>
  <c r="B11" i="13"/>
  <c r="M11" i="13" s="1"/>
  <c r="I104" i="2"/>
  <c r="F85" i="2"/>
  <c r="J89" i="2"/>
  <c r="H101" i="2"/>
  <c r="F86" i="1"/>
  <c r="J86" i="1"/>
  <c r="H86" i="1"/>
  <c r="M86" i="1"/>
  <c r="I102" i="1"/>
  <c r="G102" i="1"/>
  <c r="I85" i="1"/>
  <c r="G85" i="1"/>
  <c r="F85" i="1"/>
  <c r="M85" i="1"/>
  <c r="J85" i="1"/>
  <c r="H105" i="1"/>
  <c r="M105" i="1"/>
  <c r="J105" i="1"/>
  <c r="F86" i="2"/>
  <c r="G86" i="2"/>
  <c r="I94" i="2"/>
  <c r="G94" i="2"/>
  <c r="F102" i="2"/>
  <c r="G102" i="2"/>
  <c r="I102" i="2"/>
  <c r="F108" i="2"/>
  <c r="E88" i="16"/>
  <c r="J91" i="2"/>
  <c r="H91" i="2"/>
  <c r="H99" i="2"/>
  <c r="F106" i="1"/>
  <c r="J106" i="1"/>
  <c r="H106" i="1"/>
  <c r="M106" i="1"/>
  <c r="D103" i="16"/>
  <c r="A103" i="16" s="1"/>
  <c r="G106" i="1"/>
  <c r="G95" i="1"/>
  <c r="M95" i="1"/>
  <c r="F95" i="1"/>
  <c r="H103" i="1"/>
  <c r="M103" i="1"/>
  <c r="D100" i="16"/>
  <c r="A100" i="16" s="1"/>
  <c r="F103" i="1"/>
  <c r="D101" i="16"/>
  <c r="A101" i="16" s="1"/>
  <c r="I104" i="1"/>
  <c r="M104" i="1"/>
  <c r="F100" i="2"/>
  <c r="H100" i="2"/>
  <c r="F88" i="1"/>
  <c r="J88" i="1"/>
  <c r="G88" i="1"/>
  <c r="H88" i="1"/>
  <c r="H104" i="2"/>
  <c r="G104" i="2"/>
  <c r="J104" i="2"/>
  <c r="M85" i="2"/>
  <c r="G85" i="2"/>
  <c r="E82" i="16"/>
  <c r="I101" i="2"/>
  <c r="G101" i="2"/>
  <c r="M101" i="2"/>
  <c r="J101" i="2"/>
  <c r="M43" i="12"/>
  <c r="J43" i="12"/>
  <c r="G43" i="12"/>
  <c r="F43" i="12"/>
  <c r="H43" i="12"/>
  <c r="J47" i="3"/>
  <c r="H47" i="3"/>
  <c r="G47" i="3"/>
  <c r="I47" i="3"/>
  <c r="F47" i="3"/>
  <c r="F48" i="14"/>
  <c r="I48" i="14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J56" i="12"/>
  <c r="F56" i="12"/>
  <c r="G56" i="12"/>
  <c r="J60" i="3"/>
  <c r="G60" i="3"/>
  <c r="M60" i="3"/>
  <c r="H60" i="3"/>
  <c r="F60" i="3"/>
  <c r="I60" i="3"/>
  <c r="F61" i="12"/>
  <c r="I61" i="12"/>
  <c r="M61" i="12"/>
  <c r="J61" i="12"/>
  <c r="M63" i="12"/>
  <c r="J63" i="12"/>
  <c r="F63" i="12"/>
  <c r="G63" i="12"/>
  <c r="J66" i="14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I56" i="3"/>
  <c r="G60" i="14"/>
  <c r="M60" i="14"/>
  <c r="J60" i="14"/>
  <c r="I60" i="14"/>
  <c r="F64" i="14"/>
  <c r="H64" i="14"/>
  <c r="J43" i="3"/>
  <c r="H43" i="3"/>
  <c r="G43" i="3"/>
  <c r="I43" i="3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M59" i="14"/>
  <c r="F59" i="14"/>
  <c r="G59" i="14"/>
  <c r="J59" i="14"/>
  <c r="H59" i="14"/>
  <c r="J63" i="3"/>
  <c r="M63" i="3"/>
  <c r="I63" i="3"/>
  <c r="H63" i="3"/>
  <c r="J67" i="3"/>
  <c r="M67" i="3"/>
  <c r="I67" i="3"/>
  <c r="H67" i="3"/>
  <c r="F67" i="3"/>
  <c r="G67" i="3"/>
  <c r="J71" i="3"/>
  <c r="F71" i="3"/>
  <c r="M71" i="3"/>
  <c r="H71" i="3"/>
  <c r="J73" i="3"/>
  <c r="F73" i="3"/>
  <c r="G73" i="3"/>
  <c r="I73" i="3"/>
  <c r="H73" i="3"/>
  <c r="J75" i="3"/>
  <c r="H75" i="3"/>
  <c r="G75" i="3"/>
  <c r="F75" i="3"/>
  <c r="M75" i="3"/>
  <c r="I76" i="12"/>
  <c r="M76" i="12"/>
  <c r="H76" i="12"/>
  <c r="F76" i="12"/>
  <c r="J79" i="14"/>
  <c r="I79" i="14"/>
  <c r="G79" i="14"/>
  <c r="I76" i="16"/>
  <c r="F79" i="14"/>
  <c r="M79" i="14"/>
  <c r="I80" i="12"/>
  <c r="M80" i="12"/>
  <c r="F80" i="12"/>
  <c r="J80" i="12"/>
  <c r="I80" i="16"/>
  <c r="F83" i="14"/>
  <c r="H83" i="14"/>
  <c r="I83" i="14"/>
  <c r="J83" i="14"/>
  <c r="G83" i="14"/>
  <c r="I106" i="1"/>
  <c r="H85" i="1"/>
  <c r="E83" i="16"/>
  <c r="H108" i="2"/>
  <c r="M10" i="3"/>
  <c r="M47" i="3"/>
  <c r="H48" i="14"/>
  <c r="G47" i="16"/>
  <c r="C47" i="16" s="1"/>
  <c r="G51" i="16"/>
  <c r="C51" i="16" s="1"/>
  <c r="H56" i="12"/>
  <c r="H61" i="12"/>
  <c r="I63" i="12"/>
  <c r="H66" i="14"/>
  <c r="F43" i="3"/>
  <c r="I46" i="16"/>
  <c r="I53" i="14"/>
  <c r="M57" i="3"/>
  <c r="G63" i="3"/>
  <c r="J64" i="16"/>
  <c r="I71" i="3"/>
  <c r="I75" i="3"/>
  <c r="G76" i="12"/>
  <c r="H79" i="14"/>
  <c r="H80" i="12"/>
  <c r="J87" i="3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G61" i="16"/>
  <c r="C61" i="16" s="1"/>
  <c r="J64" i="12"/>
  <c r="M44" i="14"/>
  <c r="F44" i="14"/>
  <c r="J44" i="14"/>
  <c r="H44" i="14"/>
  <c r="J78" i="3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J103" i="3"/>
  <c r="M103" i="3"/>
  <c r="I103" i="3"/>
  <c r="F103" i="3"/>
  <c r="H103" i="3"/>
  <c r="G105" i="14"/>
  <c r="I105" i="14"/>
  <c r="I102" i="16"/>
  <c r="F105" i="14"/>
  <c r="J105" i="14"/>
  <c r="B11" i="14"/>
  <c r="F10" i="14"/>
  <c r="G10" i="14" s="1"/>
  <c r="H10" i="14" s="1"/>
  <c r="J91" i="14"/>
  <c r="F91" i="14"/>
  <c r="I91" i="14"/>
  <c r="H91" i="14"/>
  <c r="J102" i="3"/>
  <c r="H102" i="3"/>
  <c r="G102" i="3"/>
  <c r="M102" i="3"/>
  <c r="I47" i="12"/>
  <c r="G44" i="16"/>
  <c r="C44" i="16" s="1"/>
  <c r="M47" i="12"/>
  <c r="H47" i="12"/>
  <c r="G47" i="12"/>
  <c r="I71" i="12"/>
  <c r="M71" i="12"/>
  <c r="H71" i="12"/>
  <c r="J71" i="12"/>
  <c r="G68" i="16"/>
  <c r="C68" i="16" s="1"/>
  <c r="J72" i="14"/>
  <c r="F72" i="14"/>
  <c r="I72" i="14"/>
  <c r="G72" i="14"/>
  <c r="M82" i="14"/>
  <c r="I82" i="14"/>
  <c r="F82" i="14"/>
  <c r="J82" i="14"/>
  <c r="H82" i="14"/>
  <c r="J92" i="3"/>
  <c r="F92" i="3"/>
  <c r="J89" i="16"/>
  <c r="G92" i="3"/>
  <c r="M92" i="3"/>
  <c r="H92" i="3"/>
  <c r="I100" i="12"/>
  <c r="M100" i="12"/>
  <c r="H100" i="12"/>
  <c r="J100" i="12"/>
  <c r="I87" i="12"/>
  <c r="H87" i="12"/>
  <c r="M87" i="12"/>
  <c r="J87" i="12"/>
  <c r="G87" i="12"/>
  <c r="J99" i="3"/>
  <c r="M99" i="3"/>
  <c r="I99" i="3"/>
  <c r="F99" i="3"/>
  <c r="J96" i="16"/>
  <c r="G99" i="3"/>
  <c r="J96" i="3"/>
  <c r="M96" i="3"/>
  <c r="I96" i="3"/>
  <c r="H96" i="3"/>
  <c r="F96" i="3"/>
  <c r="I102" i="14"/>
  <c r="M102" i="14"/>
  <c r="G102" i="14"/>
  <c r="F102" i="14"/>
  <c r="I106" i="12"/>
  <c r="G106" i="12"/>
  <c r="J106" i="12"/>
  <c r="J89" i="3"/>
  <c r="H89" i="3"/>
  <c r="I89" i="3"/>
  <c r="F89" i="3"/>
  <c r="M89" i="3"/>
  <c r="F97" i="14"/>
  <c r="H97" i="14"/>
  <c r="I97" i="14"/>
  <c r="J97" i="14"/>
  <c r="F105" i="12"/>
  <c r="G102" i="16"/>
  <c r="C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H62" i="3"/>
  <c r="M62" i="3"/>
  <c r="G62" i="3"/>
  <c r="H64" i="3"/>
  <c r="M64" i="3"/>
  <c r="G64" i="3"/>
  <c r="I68" i="14"/>
  <c r="H68" i="14"/>
  <c r="H45" i="3"/>
  <c r="J42" i="16"/>
  <c r="M45" i="3"/>
  <c r="M52" i="12"/>
  <c r="F53" i="12"/>
  <c r="J53" i="12"/>
  <c r="G53" i="12"/>
  <c r="I59" i="12"/>
  <c r="F59" i="12"/>
  <c r="H61" i="14"/>
  <c r="G61" i="14"/>
  <c r="F61" i="14"/>
  <c r="I65" i="14"/>
  <c r="G67" i="14"/>
  <c r="F67" i="14"/>
  <c r="G72" i="12"/>
  <c r="G77" i="3"/>
  <c r="M77" i="3"/>
  <c r="I77" i="3"/>
  <c r="G77" i="14"/>
  <c r="M77" i="14"/>
  <c r="I74" i="16"/>
  <c r="G80" i="3"/>
  <c r="H80" i="3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J95" i="16"/>
  <c r="I98" i="3"/>
  <c r="I100" i="3"/>
  <c r="M100" i="3"/>
  <c r="G101" i="12"/>
  <c r="H101" i="12"/>
  <c r="F101" i="12"/>
  <c r="M104" i="12"/>
  <c r="G108" i="14"/>
  <c r="F108" i="14"/>
  <c r="J42" i="12"/>
  <c r="G42" i="12"/>
  <c r="I44" i="16"/>
  <c r="H47" i="14"/>
  <c r="F47" i="14"/>
  <c r="H51" i="3"/>
  <c r="I51" i="3"/>
  <c r="M51" i="3"/>
  <c r="G69" i="12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G92" i="14"/>
  <c r="F92" i="14"/>
  <c r="H98" i="14"/>
  <c r="G98" i="14"/>
  <c r="F98" i="14"/>
  <c r="G83" i="12"/>
  <c r="H83" i="12"/>
  <c r="F83" i="12"/>
  <c r="G87" i="14"/>
  <c r="I87" i="14"/>
  <c r="G89" i="12"/>
  <c r="M89" i="12"/>
  <c r="F89" i="12"/>
  <c r="G99" i="12"/>
  <c r="G101" i="14"/>
  <c r="H101" i="14"/>
  <c r="I101" i="14"/>
  <c r="F106" i="12"/>
  <c r="H106" i="12"/>
  <c r="M10" i="14"/>
  <c r="H87" i="3"/>
  <c r="G91" i="14"/>
  <c r="M97" i="14"/>
  <c r="I102" i="3"/>
  <c r="H102" i="14"/>
  <c r="F107" i="3"/>
  <c r="F47" i="12"/>
  <c r="F64" i="12"/>
  <c r="F71" i="12"/>
  <c r="G44" i="14"/>
  <c r="M72" i="14"/>
  <c r="G82" i="14"/>
  <c r="I92" i="3"/>
  <c r="F100" i="12"/>
  <c r="G81" i="12"/>
  <c r="F87" i="12"/>
  <c r="H99" i="3"/>
  <c r="M105" i="14"/>
  <c r="G105" i="12"/>
  <c r="G96" i="1"/>
  <c r="J87" i="1"/>
  <c r="G93" i="1"/>
  <c r="I42" i="3"/>
  <c r="M49" i="3"/>
  <c r="F52" i="3"/>
  <c r="H57" i="14"/>
  <c r="I94" i="1"/>
  <c r="M87" i="1"/>
  <c r="F96" i="1"/>
  <c r="B11" i="5"/>
  <c r="J88" i="2"/>
  <c r="M106" i="2"/>
  <c r="I58" i="12"/>
  <c r="F62" i="14"/>
  <c r="I65" i="12"/>
  <c r="G94" i="1"/>
  <c r="H87" i="1"/>
  <c r="H96" i="1"/>
  <c r="J96" i="1"/>
  <c r="F93" i="1"/>
  <c r="H93" i="1"/>
  <c r="M68" i="3"/>
  <c r="I41" i="12"/>
  <c r="M51" i="14"/>
  <c r="F59" i="3"/>
  <c r="J71" i="14"/>
  <c r="M85" i="3"/>
  <c r="I107" i="2"/>
  <c r="F107" i="2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G92" i="2"/>
  <c r="J106" i="2"/>
  <c r="H106" i="2"/>
  <c r="I106" i="2"/>
  <c r="M88" i="2"/>
  <c r="G88" i="2"/>
  <c r="G46" i="14"/>
  <c r="H46" i="14"/>
  <c r="I46" i="14"/>
  <c r="M94" i="1"/>
  <c r="H94" i="1"/>
  <c r="J94" i="1"/>
  <c r="F87" i="1"/>
  <c r="G87" i="1"/>
  <c r="B11" i="1"/>
  <c r="M11" i="1" s="1"/>
  <c r="M96" i="1"/>
  <c r="I96" i="1"/>
  <c r="J93" i="1"/>
  <c r="M93" i="1"/>
  <c r="J89" i="1"/>
  <c r="M89" i="1"/>
  <c r="H88" i="2"/>
  <c r="I88" i="2"/>
  <c r="H92" i="2"/>
  <c r="F92" i="2"/>
  <c r="J96" i="2"/>
  <c r="G106" i="2"/>
  <c r="J107" i="2"/>
  <c r="M93" i="2"/>
  <c r="I93" i="2"/>
  <c r="F97" i="2"/>
  <c r="I41" i="3"/>
  <c r="M42" i="3"/>
  <c r="M46" i="14"/>
  <c r="F49" i="3"/>
  <c r="I52" i="3"/>
  <c r="J56" i="14"/>
  <c r="J55" i="16"/>
  <c r="H58" i="12"/>
  <c r="I62" i="14"/>
  <c r="H65" i="12"/>
  <c r="J48" i="12"/>
  <c r="I55" i="14"/>
  <c r="G59" i="3"/>
  <c r="J63" i="14"/>
  <c r="H73" i="14"/>
  <c r="F80" i="14"/>
  <c r="F45" i="14"/>
  <c r="F88" i="3"/>
  <c r="J46" i="14"/>
  <c r="J52" i="3"/>
  <c r="G52" i="3"/>
  <c r="H52" i="3"/>
  <c r="J58" i="3"/>
  <c r="M58" i="3"/>
  <c r="H58" i="3"/>
  <c r="F58" i="3"/>
  <c r="G62" i="14"/>
  <c r="M62" i="14"/>
  <c r="H62" i="14"/>
  <c r="J62" i="14"/>
  <c r="G68" i="3"/>
  <c r="H68" i="3"/>
  <c r="J49" i="3"/>
  <c r="I49" i="3"/>
  <c r="H49" i="3"/>
  <c r="F56" i="14"/>
  <c r="H56" i="14"/>
  <c r="M65" i="12"/>
  <c r="J65" i="12"/>
  <c r="F65" i="12"/>
  <c r="J51" i="14"/>
  <c r="F51" i="14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I88" i="14"/>
  <c r="G88" i="14"/>
  <c r="J91" i="3"/>
  <c r="M91" i="3"/>
  <c r="J94" i="3"/>
  <c r="I95" i="14"/>
  <c r="M95" i="14"/>
  <c r="I97" i="12"/>
  <c r="G94" i="16"/>
  <c r="C94" i="16" s="1"/>
  <c r="H100" i="14"/>
  <c r="G100" i="14"/>
  <c r="J101" i="16"/>
  <c r="M104" i="3"/>
  <c r="F108" i="3"/>
  <c r="M108" i="3"/>
  <c r="M108" i="12"/>
  <c r="M58" i="12"/>
  <c r="J58" i="12"/>
  <c r="F58" i="12"/>
  <c r="M41" i="12"/>
  <c r="G41" i="12"/>
  <c r="J41" i="12"/>
  <c r="F41" i="12"/>
  <c r="J59" i="3"/>
  <c r="M59" i="3"/>
  <c r="I59" i="3"/>
  <c r="H59" i="3"/>
  <c r="G71" i="14"/>
  <c r="I71" i="14"/>
  <c r="I80" i="14"/>
  <c r="M80" i="14"/>
  <c r="M48" i="12"/>
  <c r="H48" i="12"/>
  <c r="G55" i="14"/>
  <c r="I52" i="16"/>
  <c r="F55" i="14"/>
  <c r="F69" i="14"/>
  <c r="J69" i="14"/>
  <c r="F73" i="14"/>
  <c r="J73" i="14"/>
  <c r="H68" i="12"/>
  <c r="H42" i="14"/>
  <c r="G45" i="14"/>
  <c r="M45" i="14"/>
  <c r="I73" i="16"/>
  <c r="G84" i="3"/>
  <c r="M84" i="12"/>
  <c r="M94" i="14"/>
  <c r="J68" i="3"/>
  <c r="F68" i="3"/>
  <c r="G51" i="14"/>
  <c r="I51" i="14"/>
  <c r="I57" i="14"/>
  <c r="G63" i="14"/>
  <c r="F63" i="14"/>
  <c r="H70" i="12"/>
  <c r="M70" i="12"/>
  <c r="F70" i="12"/>
  <c r="F71" i="14"/>
  <c r="M71" i="14"/>
  <c r="G74" i="12"/>
  <c r="F74" i="12"/>
  <c r="G79" i="12"/>
  <c r="F79" i="12"/>
  <c r="G80" i="14"/>
  <c r="H80" i="14"/>
  <c r="I85" i="3"/>
  <c r="G85" i="3"/>
  <c r="F88" i="14"/>
  <c r="M88" i="14"/>
  <c r="J88" i="14"/>
  <c r="F91" i="3"/>
  <c r="G91" i="3"/>
  <c r="F94" i="3"/>
  <c r="M94" i="3"/>
  <c r="I94" i="3"/>
  <c r="M97" i="12"/>
  <c r="J100" i="14"/>
  <c r="I104" i="3"/>
  <c r="G108" i="3"/>
  <c r="F108" i="12"/>
  <c r="I54" i="14"/>
  <c r="G54" i="14"/>
  <c r="J68" i="12"/>
  <c r="M68" i="12"/>
  <c r="G73" i="12"/>
  <c r="F73" i="12"/>
  <c r="J42" i="14"/>
  <c r="J76" i="14"/>
  <c r="I84" i="3"/>
  <c r="I84" i="12"/>
  <c r="H88" i="3"/>
  <c r="I91" i="16"/>
  <c r="F94" i="14"/>
  <c r="H96" i="14"/>
  <c r="J96" i="14"/>
  <c r="G102" i="12"/>
  <c r="J102" i="12"/>
  <c r="F105" i="3"/>
  <c r="F95" i="14"/>
  <c r="J95" i="14"/>
  <c r="J97" i="12"/>
  <c r="F97" i="12"/>
  <c r="H97" i="12"/>
  <c r="G97" i="12"/>
  <c r="M100" i="14"/>
  <c r="F100" i="14"/>
  <c r="J104" i="3"/>
  <c r="H104" i="3"/>
  <c r="G104" i="3"/>
  <c r="F104" i="3"/>
  <c r="J108" i="3"/>
  <c r="I108" i="3"/>
  <c r="H108" i="3"/>
  <c r="H108" i="12"/>
  <c r="G108" i="12"/>
  <c r="I108" i="12"/>
  <c r="J75" i="12"/>
  <c r="M75" i="12"/>
  <c r="F66" i="12"/>
  <c r="G66" i="12"/>
  <c r="F54" i="14"/>
  <c r="H54" i="14"/>
  <c r="J54" i="14"/>
  <c r="G68" i="12"/>
  <c r="H73" i="12"/>
  <c r="M73" i="12"/>
  <c r="G42" i="14"/>
  <c r="F42" i="14"/>
  <c r="I42" i="14"/>
  <c r="H45" i="14"/>
  <c r="I42" i="16"/>
  <c r="F76" i="14"/>
  <c r="H76" i="14"/>
  <c r="I76" i="14"/>
  <c r="F84" i="3"/>
  <c r="H84" i="3"/>
  <c r="J81" i="16"/>
  <c r="F84" i="12"/>
  <c r="G84" i="12"/>
  <c r="H84" i="12"/>
  <c r="G88" i="3"/>
  <c r="I88" i="3"/>
  <c r="M88" i="3"/>
  <c r="H94" i="14"/>
  <c r="G94" i="14"/>
  <c r="G96" i="14"/>
  <c r="F96" i="14"/>
  <c r="H102" i="12"/>
  <c r="F102" i="12"/>
  <c r="H99" i="1"/>
  <c r="I99" i="1"/>
  <c r="J99" i="1"/>
  <c r="F100" i="1"/>
  <c r="D97" i="16"/>
  <c r="A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M55" i="12"/>
  <c r="J55" i="12"/>
  <c r="J58" i="14"/>
  <c r="M58" i="14"/>
  <c r="F58" i="14"/>
  <c r="M60" i="12"/>
  <c r="H60" i="12"/>
  <c r="I60" i="12"/>
  <c r="M62" i="12"/>
  <c r="I62" i="12"/>
  <c r="J66" i="3"/>
  <c r="G66" i="3"/>
  <c r="I66" i="3"/>
  <c r="J67" i="12"/>
  <c r="I67" i="12"/>
  <c r="H67" i="12"/>
  <c r="J48" i="3"/>
  <c r="M48" i="3"/>
  <c r="G48" i="3"/>
  <c r="I51" i="12"/>
  <c r="H51" i="12"/>
  <c r="J55" i="3"/>
  <c r="G57" i="12"/>
  <c r="F57" i="12"/>
  <c r="J61" i="3"/>
  <c r="G61" i="3"/>
  <c r="J65" i="3"/>
  <c r="F65" i="3"/>
  <c r="H65" i="3"/>
  <c r="J69" i="3"/>
  <c r="J72" i="3"/>
  <c r="I72" i="3"/>
  <c r="G72" i="3"/>
  <c r="J74" i="3"/>
  <c r="F74" i="3"/>
  <c r="G75" i="14"/>
  <c r="F75" i="14"/>
  <c r="J79" i="3"/>
  <c r="G79" i="3"/>
  <c r="J81" i="3"/>
  <c r="F81" i="3"/>
  <c r="J83" i="3"/>
  <c r="F83" i="3"/>
  <c r="J86" i="3"/>
  <c r="H86" i="3"/>
  <c r="J88" i="12"/>
  <c r="I88" i="12"/>
  <c r="H89" i="14"/>
  <c r="M89" i="14"/>
  <c r="J77" i="12"/>
  <c r="F77" i="12"/>
  <c r="M77" i="12"/>
  <c r="G77" i="12"/>
  <c r="J97" i="3"/>
  <c r="H97" i="3"/>
  <c r="G97" i="3"/>
  <c r="J105" i="3"/>
  <c r="H105" i="3"/>
  <c r="G105" i="3"/>
  <c r="H77" i="12"/>
  <c r="I77" i="12"/>
  <c r="F97" i="3"/>
  <c r="M97" i="3"/>
  <c r="I105" i="3"/>
  <c r="G99" i="1"/>
  <c r="I100" i="1"/>
  <c r="G41" i="14"/>
  <c r="I46" i="3"/>
  <c r="J46" i="12"/>
  <c r="G52" i="14"/>
  <c r="H55" i="12"/>
  <c r="G58" i="14"/>
  <c r="M67" i="12"/>
  <c r="J51" i="12"/>
  <c r="G55" i="3"/>
  <c r="J57" i="12"/>
  <c r="F61" i="3"/>
  <c r="G69" i="3"/>
  <c r="F72" i="3"/>
  <c r="I74" i="3"/>
  <c r="H75" i="14"/>
  <c r="H81" i="3"/>
  <c r="M83" i="3"/>
  <c r="F93" i="14"/>
  <c r="G107" i="12"/>
  <c r="F78" i="12"/>
  <c r="H84" i="14"/>
  <c r="F90" i="14"/>
  <c r="M103" i="12"/>
  <c r="H106" i="14"/>
  <c r="G93" i="14"/>
  <c r="I93" i="14"/>
  <c r="M93" i="14"/>
  <c r="J93" i="14"/>
  <c r="I98" i="12"/>
  <c r="G98" i="12"/>
  <c r="H104" i="14"/>
  <c r="G104" i="14"/>
  <c r="J104" i="14"/>
  <c r="I104" i="14"/>
  <c r="J44" i="3"/>
  <c r="G44" i="3"/>
  <c r="I44" i="3"/>
  <c r="J53" i="3"/>
  <c r="M53" i="3"/>
  <c r="I53" i="3"/>
  <c r="J70" i="3"/>
  <c r="H70" i="3"/>
  <c r="G70" i="3"/>
  <c r="I75" i="12"/>
  <c r="G72" i="16"/>
  <c r="C72" i="16" s="1"/>
  <c r="H75" i="12"/>
  <c r="G63" i="16"/>
  <c r="C63" i="16" s="1"/>
  <c r="H66" i="12"/>
  <c r="I66" i="12"/>
  <c r="J76" i="3"/>
  <c r="M76" i="3"/>
  <c r="I76" i="3"/>
  <c r="F76" i="3"/>
  <c r="I78" i="12"/>
  <c r="M78" i="12"/>
  <c r="H78" i="12"/>
  <c r="J84" i="14"/>
  <c r="G84" i="14"/>
  <c r="J90" i="14"/>
  <c r="I90" i="14"/>
  <c r="J92" i="12"/>
  <c r="F92" i="12"/>
  <c r="G92" i="12"/>
  <c r="J96" i="12"/>
  <c r="F96" i="12"/>
  <c r="H96" i="12"/>
  <c r="M107" i="14"/>
  <c r="J107" i="14"/>
  <c r="F107" i="14"/>
  <c r="H107" i="14"/>
  <c r="J85" i="12"/>
  <c r="F85" i="12"/>
  <c r="G85" i="12"/>
  <c r="J95" i="3"/>
  <c r="H95" i="3"/>
  <c r="G95" i="3"/>
  <c r="J101" i="3"/>
  <c r="H101" i="3"/>
  <c r="G101" i="3"/>
  <c r="J103" i="12"/>
  <c r="H103" i="12"/>
  <c r="F103" i="12"/>
  <c r="G103" i="12"/>
  <c r="M106" i="14"/>
  <c r="I106" i="14"/>
  <c r="G106" i="14"/>
  <c r="H99" i="14"/>
  <c r="J99" i="14"/>
  <c r="G99" i="14"/>
  <c r="J93" i="3"/>
  <c r="I93" i="3"/>
  <c r="F93" i="3"/>
  <c r="G93" i="3"/>
  <c r="H107" i="12"/>
  <c r="I107" i="12"/>
  <c r="J106" i="3"/>
  <c r="F106" i="3"/>
  <c r="G106" i="3"/>
  <c r="H106" i="3"/>
  <c r="H103" i="14"/>
  <c r="F103" i="14"/>
  <c r="F99" i="1"/>
  <c r="D96" i="16"/>
  <c r="A96" i="16" s="1"/>
  <c r="M99" i="1"/>
  <c r="H100" i="1"/>
  <c r="G100" i="1"/>
  <c r="J100" i="1"/>
  <c r="F41" i="14"/>
  <c r="M46" i="3"/>
  <c r="H46" i="3"/>
  <c r="H46" i="12"/>
  <c r="M46" i="12"/>
  <c r="M49" i="12"/>
  <c r="G49" i="12"/>
  <c r="J52" i="14"/>
  <c r="I52" i="14"/>
  <c r="I55" i="12"/>
  <c r="F55" i="12"/>
  <c r="I58" i="14"/>
  <c r="I55" i="16"/>
  <c r="F60" i="12"/>
  <c r="J60" i="12"/>
  <c r="F62" i="12"/>
  <c r="J62" i="12"/>
  <c r="G62" i="12"/>
  <c r="F66" i="3"/>
  <c r="H66" i="3"/>
  <c r="M66" i="3"/>
  <c r="G67" i="12"/>
  <c r="F67" i="12"/>
  <c r="F48" i="3"/>
  <c r="H48" i="3"/>
  <c r="M51" i="12"/>
  <c r="G51" i="12"/>
  <c r="H55" i="3"/>
  <c r="I55" i="3"/>
  <c r="M55" i="3"/>
  <c r="I57" i="12"/>
  <c r="H57" i="12"/>
  <c r="I61" i="3"/>
  <c r="M61" i="3"/>
  <c r="I65" i="3"/>
  <c r="M65" i="3"/>
  <c r="F69" i="3"/>
  <c r="I69" i="3"/>
  <c r="M69" i="3"/>
  <c r="M72" i="3"/>
  <c r="H72" i="3"/>
  <c r="J69" i="16"/>
  <c r="M74" i="3"/>
  <c r="H74" i="3"/>
  <c r="I75" i="14"/>
  <c r="M75" i="14"/>
  <c r="M79" i="3"/>
  <c r="H79" i="3"/>
  <c r="F79" i="3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H93" i="14"/>
  <c r="H98" i="12"/>
  <c r="F98" i="12"/>
  <c r="M99" i="14"/>
  <c r="I99" i="14"/>
  <c r="F104" i="14"/>
  <c r="I101" i="16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J78" i="12"/>
  <c r="F84" i="14"/>
  <c r="I84" i="14"/>
  <c r="G90" i="14"/>
  <c r="M90" i="14"/>
  <c r="M92" i="12"/>
  <c r="M96" i="12"/>
  <c r="I107" i="14"/>
  <c r="H85" i="12"/>
  <c r="I95" i="3"/>
  <c r="F101" i="3"/>
  <c r="M101" i="3"/>
  <c r="F106" i="14"/>
  <c r="G103" i="14"/>
  <c r="I103" i="14"/>
  <c r="F98" i="1"/>
  <c r="H98" i="1"/>
  <c r="F90" i="1"/>
  <c r="G90" i="1"/>
  <c r="H91" i="1"/>
  <c r="I91" i="1"/>
  <c r="F91" i="1"/>
  <c r="H107" i="1"/>
  <c r="I107" i="1"/>
  <c r="J107" i="1"/>
  <c r="F92" i="1"/>
  <c r="M92" i="1"/>
  <c r="F108" i="1"/>
  <c r="M108" i="1"/>
  <c r="H101" i="1"/>
  <c r="I101" i="1"/>
  <c r="F101" i="1"/>
  <c r="I97" i="1"/>
  <c r="H97" i="1"/>
  <c r="F97" i="1"/>
  <c r="I89" i="1"/>
  <c r="G89" i="1"/>
  <c r="F89" i="1"/>
  <c r="B11" i="2"/>
  <c r="B11" i="11"/>
  <c r="M10" i="1"/>
  <c r="F10" i="1"/>
  <c r="G10" i="1" s="1"/>
  <c r="H10" i="1" s="1"/>
  <c r="J100" i="2"/>
  <c r="I100" i="2"/>
  <c r="G100" i="2"/>
  <c r="H107" i="2"/>
  <c r="M107" i="2"/>
  <c r="M98" i="1"/>
  <c r="M86" i="2"/>
  <c r="I86" i="2"/>
  <c r="H86" i="2"/>
  <c r="J86" i="2"/>
  <c r="J94" i="2"/>
  <c r="M94" i="2"/>
  <c r="H94" i="2"/>
  <c r="J102" i="2"/>
  <c r="E99" i="16"/>
  <c r="M102" i="2"/>
  <c r="H102" i="2"/>
  <c r="J108" i="2"/>
  <c r="M108" i="2"/>
  <c r="I108" i="2"/>
  <c r="G108" i="2"/>
  <c r="I91" i="2"/>
  <c r="G91" i="2"/>
  <c r="F91" i="2"/>
  <c r="M91" i="2"/>
  <c r="I99" i="2"/>
  <c r="G99" i="2"/>
  <c r="F99" i="2"/>
  <c r="M99" i="2"/>
  <c r="J90" i="2"/>
  <c r="I90" i="2"/>
  <c r="G90" i="2"/>
  <c r="J98" i="2"/>
  <c r="I98" i="2"/>
  <c r="G98" i="2"/>
  <c r="F105" i="2"/>
  <c r="J105" i="2"/>
  <c r="M105" i="2"/>
  <c r="I87" i="2"/>
  <c r="H87" i="2"/>
  <c r="G87" i="2"/>
  <c r="F87" i="2"/>
  <c r="I95" i="2"/>
  <c r="G95" i="2"/>
  <c r="J95" i="2"/>
  <c r="M95" i="2"/>
  <c r="I103" i="2"/>
  <c r="G103" i="2"/>
  <c r="J103" i="2"/>
  <c r="M103" i="2"/>
  <c r="M90" i="1"/>
  <c r="H90" i="1"/>
  <c r="J90" i="1"/>
  <c r="G98" i="1"/>
  <c r="I98" i="1"/>
  <c r="J91" i="1"/>
  <c r="M91" i="1"/>
  <c r="F107" i="1"/>
  <c r="M107" i="1"/>
  <c r="H92" i="1"/>
  <c r="G92" i="1"/>
  <c r="J92" i="1"/>
  <c r="H108" i="1"/>
  <c r="G108" i="1"/>
  <c r="J108" i="1"/>
  <c r="J101" i="1"/>
  <c r="M101" i="1"/>
  <c r="J97" i="1"/>
  <c r="M97" i="1"/>
  <c r="H90" i="2"/>
  <c r="F90" i="2"/>
  <c r="H98" i="2"/>
  <c r="F98" i="2"/>
  <c r="I105" i="2"/>
  <c r="G105" i="2"/>
  <c r="J87" i="2"/>
  <c r="M87" i="2"/>
  <c r="F95" i="2"/>
  <c r="F103" i="2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B12" i="2"/>
  <c r="B12" i="5"/>
  <c r="B12" i="1"/>
  <c r="B12" i="13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B13" i="12"/>
  <c r="F12" i="1"/>
  <c r="G12" i="1" s="1"/>
  <c r="M12" i="5"/>
  <c r="A19" i="11"/>
  <c r="F12" i="13"/>
  <c r="G12" i="13" s="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H14" i="13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H18" i="11" s="1"/>
  <c r="M18" i="2"/>
  <c r="F18" i="2"/>
  <c r="G18" i="2" s="1"/>
  <c r="M18" i="13"/>
  <c r="F18" i="13"/>
  <c r="G18" i="13" s="1"/>
  <c r="H18" i="13" s="1"/>
  <c r="H18" i="1" l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H19" i="13" s="1"/>
  <c r="M19" i="13"/>
  <c r="A34" i="5"/>
  <c r="H19" i="5" l="1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5" l="1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G21" i="1" s="1"/>
  <c r="H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2" l="1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F22" i="5"/>
  <c r="G22" i="5" s="1"/>
  <c r="M22" i="5"/>
  <c r="H22" i="2" l="1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B26" i="12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A30" i="11"/>
  <c r="A36" i="13"/>
  <c r="F23" i="11"/>
  <c r="G23" i="11" s="1"/>
  <c r="H23" i="11" s="1"/>
  <c r="M23" i="11"/>
  <c r="M23" i="5"/>
  <c r="F23" i="5"/>
  <c r="G23" i="5" s="1"/>
  <c r="F23" i="1"/>
  <c r="G23" i="1" s="1"/>
  <c r="H23" i="1" s="1"/>
  <c r="M23" i="1"/>
  <c r="B24" i="1"/>
  <c r="B24" i="2"/>
  <c r="B24" i="5"/>
  <c r="B24" i="13"/>
  <c r="B24" i="11"/>
  <c r="A38" i="5"/>
  <c r="F25" i="12" l="1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F26" i="12"/>
  <c r="G26" i="12" s="1"/>
  <c r="H26" i="12" s="1"/>
  <c r="M26" i="12"/>
  <c r="A39" i="5"/>
  <c r="F24" i="11"/>
  <c r="G24" i="11" s="1"/>
  <c r="H24" i="11" s="1"/>
  <c r="M24" i="11"/>
  <c r="M24" i="5"/>
  <c r="F24" i="5"/>
  <c r="G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M24" i="2"/>
  <c r="A37" i="13"/>
  <c r="A31" i="11"/>
  <c r="H24" i="2" l="1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H25" i="5" l="1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M26" i="5"/>
  <c r="M26" i="2"/>
  <c r="F26" i="2"/>
  <c r="G26" i="2" s="1"/>
  <c r="H26" i="2" s="1"/>
  <c r="A33" i="11"/>
  <c r="M26" i="3" l="1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H27" i="5" l="1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H28" i="5" l="1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M29" i="5"/>
  <c r="M29" i="2"/>
  <c r="F29" i="2"/>
  <c r="G29" i="2" s="1"/>
  <c r="H29" i="2" s="1"/>
  <c r="A42" i="13"/>
  <c r="A44" i="5"/>
  <c r="A36" i="11"/>
  <c r="H29" i="5" l="1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H30" i="3" s="1"/>
  <c r="H31" i="3" s="1"/>
  <c r="M29" i="3"/>
  <c r="F29" i="14"/>
  <c r="G29" i="14" s="1"/>
  <c r="H29" i="14" s="1"/>
  <c r="H30" i="14" s="1"/>
  <c r="H31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H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H30" i="5" l="1"/>
  <c r="B33" i="3"/>
  <c r="F32" i="3"/>
  <c r="G32" i="3" s="1"/>
  <c r="H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M33" i="14" l="1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M34" i="12"/>
  <c r="G34" i="12"/>
  <c r="H34" i="12" s="1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M34" i="3" l="1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M36" i="12"/>
  <c r="G36" i="12"/>
  <c r="H36" i="12" s="1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B40" i="14" l="1"/>
  <c r="A1" i="14" s="1"/>
  <c r="F39" i="14"/>
  <c r="G39" i="14" s="1"/>
  <c r="H39" i="14" s="1"/>
  <c r="M39" i="14"/>
  <c r="B40" i="3"/>
  <c r="A1" i="3" s="1"/>
  <c r="M39" i="3"/>
  <c r="F39" i="3"/>
  <c r="G39" i="3" s="1"/>
  <c r="H39" i="3" s="1"/>
  <c r="A1" i="12"/>
  <c r="F40" i="12"/>
  <c r="G40" i="12" s="1"/>
  <c r="H40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M40" i="14" l="1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F41" i="13" l="1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M45" i="13" l="1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M46" i="13" l="1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F47" i="11" l="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F48" i="11" l="1"/>
  <c r="G48" i="11" s="1"/>
  <c r="H48" i="11" s="1"/>
  <c r="M48" i="11"/>
  <c r="F48" i="5"/>
  <c r="G48" i="5" s="1"/>
  <c r="H48" i="5" s="1"/>
  <c r="M48" i="5"/>
  <c r="F48" i="2"/>
  <c r="M48" i="2"/>
  <c r="G48" i="2"/>
  <c r="H48" i="2" s="1"/>
  <c r="M48" i="13"/>
  <c r="F48" i="13"/>
  <c r="G48" i="13" s="1"/>
  <c r="H48" i="13" s="1"/>
  <c r="B49" i="2"/>
  <c r="B49" i="1"/>
  <c r="F48" i="1"/>
  <c r="M48" i="1"/>
  <c r="G48" i="1"/>
  <c r="H48" i="1" s="1"/>
  <c r="B49" i="5"/>
  <c r="B49" i="13"/>
  <c r="B49" i="11"/>
  <c r="A63" i="5"/>
  <c r="A55" i="11"/>
  <c r="A61" i="13"/>
  <c r="M49" i="11" l="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M50" i="11" l="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M51" i="11" l="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3" i="5" l="1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M52" i="13"/>
  <c r="G52" i="13"/>
  <c r="H52" i="13" s="1"/>
  <c r="M52" i="2"/>
  <c r="F52" i="2"/>
  <c r="G52" i="2" s="1"/>
  <c r="H52" i="2" s="1"/>
  <c r="A65" i="13"/>
  <c r="A67" i="5"/>
  <c r="A59" i="11"/>
  <c r="M53" i="13" l="1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M54" i="11" l="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M55" i="13" l="1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M56" i="11" l="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8" i="5" l="1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59" i="5" l="1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0" i="5" l="1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1" i="5" l="1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2" i="5" l="1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3" i="5" l="1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M63" i="13" l="1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B77" i="5"/>
  <c r="A76" i="13"/>
  <c r="I77" i="5" l="1"/>
  <c r="K77" i="5"/>
  <c r="K74" i="16" s="1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J77" i="5"/>
  <c r="H77" i="5"/>
  <c r="F77" i="5"/>
  <c r="M77" i="5"/>
  <c r="G77" i="5"/>
  <c r="A79" i="5"/>
  <c r="B78" i="5"/>
  <c r="A71" i="11"/>
  <c r="I78" i="5" l="1"/>
  <c r="K78" i="5"/>
  <c r="K75" i="16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J78" i="5"/>
  <c r="H78" i="5"/>
  <c r="M78" i="5"/>
  <c r="G78" i="5"/>
  <c r="F78" i="5"/>
  <c r="A72" i="11"/>
  <c r="A80" i="5"/>
  <c r="B79" i="5"/>
  <c r="A78" i="13"/>
  <c r="B77" i="13"/>
  <c r="K77" i="13" s="1"/>
  <c r="I79" i="5" l="1"/>
  <c r="K79" i="5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I77" i="13"/>
  <c r="J77" i="13"/>
  <c r="A79" i="13"/>
  <c r="B78" i="13"/>
  <c r="K78" i="13" s="1"/>
  <c r="A81" i="5"/>
  <c r="B80" i="5"/>
  <c r="A73" i="11"/>
  <c r="M77" i="13"/>
  <c r="G77" i="13"/>
  <c r="F77" i="13"/>
  <c r="H77" i="13"/>
  <c r="H74" i="16"/>
  <c r="J79" i="5"/>
  <c r="H79" i="5"/>
  <c r="K76" i="16"/>
  <c r="G79" i="5"/>
  <c r="F79" i="5"/>
  <c r="M79" i="5"/>
  <c r="I80" i="5" l="1"/>
  <c r="K80" i="5"/>
  <c r="K77" i="16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I78" i="13"/>
  <c r="J78" i="13"/>
  <c r="A74" i="11"/>
  <c r="J80" i="5"/>
  <c r="F80" i="5"/>
  <c r="M80" i="5"/>
  <c r="G80" i="5"/>
  <c r="H80" i="5"/>
  <c r="M78" i="13"/>
  <c r="F78" i="13"/>
  <c r="G78" i="13"/>
  <c r="H78" i="13"/>
  <c r="H75" i="16"/>
  <c r="A82" i="5"/>
  <c r="B81" i="5"/>
  <c r="B79" i="13"/>
  <c r="K79" i="13" s="1"/>
  <c r="A80" i="13"/>
  <c r="I81" i="5" l="1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I79" i="13"/>
  <c r="J79" i="13"/>
  <c r="B80" i="13"/>
  <c r="K80" i="13" s="1"/>
  <c r="A81" i="13"/>
  <c r="H76" i="16"/>
  <c r="H79" i="13"/>
  <c r="F79" i="13"/>
  <c r="M79" i="13"/>
  <c r="G79" i="13"/>
  <c r="A83" i="5"/>
  <c r="B82" i="5"/>
  <c r="A75" i="11"/>
  <c r="J81" i="5"/>
  <c r="H81" i="5"/>
  <c r="F81" i="5"/>
  <c r="G81" i="5"/>
  <c r="M81" i="5"/>
  <c r="I82" i="5" l="1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I80" i="13"/>
  <c r="J80" i="13"/>
  <c r="A84" i="5"/>
  <c r="B83" i="5"/>
  <c r="A82" i="13"/>
  <c r="B81" i="13"/>
  <c r="K81" i="13" s="1"/>
  <c r="A76" i="11"/>
  <c r="J82" i="5"/>
  <c r="H82" i="5"/>
  <c r="M82" i="5"/>
  <c r="F82" i="5"/>
  <c r="G82" i="5"/>
  <c r="H77" i="16"/>
  <c r="H80" i="13"/>
  <c r="G80" i="13"/>
  <c r="M80" i="13"/>
  <c r="F80" i="13"/>
  <c r="I83" i="5" l="1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I84" i="5" l="1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B77" i="11"/>
  <c r="K77" i="11" s="1"/>
  <c r="A78" i="11"/>
  <c r="J84" i="5"/>
  <c r="F84" i="5"/>
  <c r="M84" i="5"/>
  <c r="H84" i="5"/>
  <c r="G84" i="5"/>
  <c r="A84" i="13"/>
  <c r="B83" i="13"/>
  <c r="K83" i="13" s="1"/>
  <c r="I85" i="5" l="1"/>
  <c r="K85" i="5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J77" i="11"/>
  <c r="I77" i="11"/>
  <c r="M83" i="13"/>
  <c r="H80" i="16"/>
  <c r="H83" i="13"/>
  <c r="F83" i="13"/>
  <c r="G83" i="13"/>
  <c r="B84" i="13"/>
  <c r="K84" i="13" s="1"/>
  <c r="A85" i="13"/>
  <c r="B78" i="11"/>
  <c r="K78" i="11" s="1"/>
  <c r="A79" i="11"/>
  <c r="A87" i="5"/>
  <c r="B86" i="5"/>
  <c r="H77" i="11"/>
  <c r="F74" i="16"/>
  <c r="B74" i="16" s="1"/>
  <c r="M77" i="11"/>
  <c r="F77" i="11"/>
  <c r="G77" i="11"/>
  <c r="J85" i="5"/>
  <c r="H85" i="5"/>
  <c r="K82" i="16"/>
  <c r="F85" i="5"/>
  <c r="M85" i="5"/>
  <c r="G85" i="5"/>
  <c r="I86" i="5" l="1"/>
  <c r="K86" i="5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78" i="11"/>
  <c r="J78" i="11"/>
  <c r="I84" i="13"/>
  <c r="J84" i="13"/>
  <c r="A88" i="5"/>
  <c r="B87" i="5"/>
  <c r="F75" i="16"/>
  <c r="B75" i="16" s="1"/>
  <c r="H78" i="11"/>
  <c r="G78" i="11"/>
  <c r="M78" i="11"/>
  <c r="F78" i="11"/>
  <c r="H84" i="13"/>
  <c r="H81" i="16"/>
  <c r="G84" i="13"/>
  <c r="M84" i="13"/>
  <c r="F84" i="13"/>
  <c r="J86" i="5"/>
  <c r="K83" i="16"/>
  <c r="H86" i="5"/>
  <c r="M86" i="5"/>
  <c r="F86" i="5"/>
  <c r="G86" i="5"/>
  <c r="B79" i="11"/>
  <c r="K79" i="11" s="1"/>
  <c r="A80" i="11"/>
  <c r="A86" i="13"/>
  <c r="B85" i="13"/>
  <c r="K85" i="13" s="1"/>
  <c r="I87" i="5" l="1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M74" i="13"/>
  <c r="G74" i="13"/>
  <c r="H74" i="13" s="1"/>
  <c r="B75" i="2"/>
  <c r="B75" i="1"/>
  <c r="M74" i="1"/>
  <c r="F74" i="1"/>
  <c r="G74" i="1" s="1"/>
  <c r="H74" i="1" s="1"/>
  <c r="B75" i="5"/>
  <c r="B75" i="13"/>
  <c r="B75" i="11"/>
  <c r="I79" i="11"/>
  <c r="J79" i="11"/>
  <c r="I85" i="13"/>
  <c r="J85" i="13"/>
  <c r="B86" i="13"/>
  <c r="K86" i="13" s="1"/>
  <c r="A87" i="13"/>
  <c r="M79" i="11"/>
  <c r="H79" i="11"/>
  <c r="F76" i="16"/>
  <c r="B76" i="16" s="1"/>
  <c r="G79" i="11"/>
  <c r="F79" i="11"/>
  <c r="J87" i="5"/>
  <c r="H87" i="5"/>
  <c r="K84" i="16"/>
  <c r="G87" i="5"/>
  <c r="F87" i="5"/>
  <c r="M87" i="5"/>
  <c r="M85" i="13"/>
  <c r="H82" i="16"/>
  <c r="H85" i="13"/>
  <c r="F85" i="13"/>
  <c r="G85" i="13"/>
  <c r="B80" i="11"/>
  <c r="K80" i="11" s="1"/>
  <c r="A81" i="11"/>
  <c r="A89" i="5"/>
  <c r="B88" i="5"/>
  <c r="I88" i="5" l="1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0" i="11"/>
  <c r="J80" i="11"/>
  <c r="I86" i="13"/>
  <c r="J86" i="13"/>
  <c r="A82" i="11"/>
  <c r="B81" i="11"/>
  <c r="K81" i="11" s="1"/>
  <c r="A90" i="5"/>
  <c r="B89" i="5"/>
  <c r="G80" i="11"/>
  <c r="F80" i="11"/>
  <c r="F77" i="16"/>
  <c r="B77" i="16" s="1"/>
  <c r="M80" i="11"/>
  <c r="H80" i="11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I89" i="5" l="1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I90" i="5" l="1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I91" i="5" l="1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I92" i="5" l="1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I93" i="5" l="1"/>
  <c r="K93" i="5"/>
  <c r="K90" i="16" s="1"/>
  <c r="B81" i="1"/>
  <c r="B81" i="2"/>
  <c r="M80" i="1"/>
  <c r="F80" i="1"/>
  <c r="G80" i="1" s="1"/>
  <c r="H80" i="1" s="1"/>
  <c r="F80" i="2"/>
  <c r="M80" i="2"/>
  <c r="G80" i="2"/>
  <c r="H80" i="2" s="1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I94" i="5" l="1"/>
  <c r="K94" i="5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I95" i="5" l="1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I96" i="5" l="1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I97" i="5" l="1"/>
  <c r="K97" i="5"/>
  <c r="M84" i="2"/>
  <c r="F84" i="2"/>
  <c r="G84" i="2" s="1"/>
  <c r="H84" i="2" s="1"/>
  <c r="N5" i="2" s="1"/>
  <c r="A1" i="2"/>
  <c r="F84" i="1"/>
  <c r="G84" i="1" s="1"/>
  <c r="H84" i="1" s="1"/>
  <c r="N5" i="1" s="1"/>
  <c r="M84" i="1"/>
  <c r="A1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I98" i="5" l="1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I99" i="5" l="1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I100" i="5" l="1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I101" i="5" l="1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I102" i="5" l="1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I103" i="5" l="1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I104" i="5" l="1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I105" i="5" l="1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I106" i="5" l="1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I107" i="5" l="1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I100" i="11" l="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A1" i="13" l="1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I102" i="11" l="1"/>
  <c r="J102" i="11"/>
  <c r="A104" i="11"/>
  <c r="B103" i="11"/>
  <c r="K103" i="11" s="1"/>
  <c r="H102" i="11"/>
  <c r="F99" i="16"/>
  <c r="B99" i="16" s="1"/>
  <c r="G102" i="11"/>
  <c r="M102" i="11"/>
  <c r="F102" i="11"/>
  <c r="I103" i="11" l="1"/>
  <c r="J103" i="11"/>
  <c r="M103" i="11"/>
  <c r="F100" i="16"/>
  <c r="B100" i="16" s="1"/>
  <c r="H103" i="11"/>
  <c r="F103" i="11"/>
  <c r="G103" i="11"/>
  <c r="B104" i="11"/>
  <c r="K104" i="11" s="1"/>
  <c r="A105" i="11"/>
  <c r="I104" i="11" l="1"/>
  <c r="J104" i="11"/>
  <c r="B105" i="11"/>
  <c r="K105" i="11" s="1"/>
  <c r="A106" i="11"/>
  <c r="M104" i="11"/>
  <c r="F104" i="11"/>
  <c r="F101" i="16"/>
  <c r="B101" i="16" s="1"/>
  <c r="H104" i="11"/>
  <c r="G104" i="11"/>
  <c r="I105" i="11" l="1"/>
  <c r="J105" i="11"/>
  <c r="B106" i="11"/>
  <c r="K106" i="11" s="1"/>
  <c r="A107" i="11"/>
  <c r="G105" i="11"/>
  <c r="F105" i="11"/>
  <c r="M105" i="11"/>
  <c r="H105" i="11"/>
  <c r="F102" i="16"/>
  <c r="B102" i="16" s="1"/>
  <c r="I106" i="11" l="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A1" i="11" l="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I47" i="1" l="1"/>
  <c r="I47" i="2"/>
  <c r="J47" i="1" l="1"/>
  <c r="K47" i="1" s="1"/>
  <c r="D44" i="16" s="1"/>
  <c r="A44" i="16" s="1"/>
  <c r="I48" i="1"/>
  <c r="J47" i="2"/>
  <c r="K47" i="2" s="1"/>
  <c r="E44" i="16" s="1"/>
  <c r="I48" i="2"/>
  <c r="I49" i="2" l="1"/>
  <c r="J48" i="2"/>
  <c r="K48" i="2" s="1"/>
  <c r="E45" i="16" s="1"/>
  <c r="J48" i="1"/>
  <c r="K48" i="1" s="1"/>
  <c r="D45" i="16" s="1"/>
  <c r="A45" i="16" s="1"/>
  <c r="I49" i="1"/>
  <c r="I50" i="1" l="1"/>
  <c r="J49" i="1"/>
  <c r="K49" i="1" s="1"/>
  <c r="D46" i="16" s="1"/>
  <c r="A46" i="16" s="1"/>
  <c r="J49" i="2"/>
  <c r="K49" i="2" s="1"/>
  <c r="E46" i="16" s="1"/>
  <c r="I50" i="2"/>
  <c r="I51" i="2" l="1"/>
  <c r="J50" i="2"/>
  <c r="K50" i="2" s="1"/>
  <c r="E47" i="16" s="1"/>
  <c r="J50" i="1"/>
  <c r="K50" i="1" s="1"/>
  <c r="D47" i="16" s="1"/>
  <c r="A47" i="16" s="1"/>
  <c r="I51" i="1"/>
  <c r="I52" i="1" l="1"/>
  <c r="J51" i="1"/>
  <c r="K51" i="1" s="1"/>
  <c r="D48" i="16" s="1"/>
  <c r="A48" i="16" s="1"/>
  <c r="J51" i="2"/>
  <c r="K51" i="2" s="1"/>
  <c r="E48" i="16" s="1"/>
  <c r="I52" i="2"/>
  <c r="I53" i="2" l="1"/>
  <c r="J52" i="2"/>
  <c r="K52" i="2" s="1"/>
  <c r="E49" i="16" s="1"/>
  <c r="J52" i="1"/>
  <c r="K52" i="1" s="1"/>
  <c r="D49" i="16" s="1"/>
  <c r="A49" i="16" s="1"/>
  <c r="I53" i="1"/>
  <c r="I54" i="1" l="1"/>
  <c r="J53" i="1"/>
  <c r="K53" i="1" s="1"/>
  <c r="D50" i="16" s="1"/>
  <c r="A50" i="16" s="1"/>
  <c r="J53" i="2"/>
  <c r="K53" i="2" s="1"/>
  <c r="E50" i="16" s="1"/>
  <c r="I54" i="2"/>
  <c r="I55" i="2" l="1"/>
  <c r="J54" i="2"/>
  <c r="K54" i="2" s="1"/>
  <c r="E51" i="16" s="1"/>
  <c r="J54" i="1"/>
  <c r="K54" i="1" s="1"/>
  <c r="D51" i="16" s="1"/>
  <c r="A51" i="16" s="1"/>
  <c r="I55" i="1"/>
  <c r="I56" i="1" l="1"/>
  <c r="J55" i="1"/>
  <c r="K55" i="1" s="1"/>
  <c r="D52" i="16" s="1"/>
  <c r="A52" i="16" s="1"/>
  <c r="I56" i="2"/>
  <c r="J55" i="2"/>
  <c r="K55" i="2" s="1"/>
  <c r="E52" i="16" s="1"/>
  <c r="J56" i="2" l="1"/>
  <c r="K56" i="2" s="1"/>
  <c r="E53" i="16" s="1"/>
  <c r="I57" i="2"/>
  <c r="J56" i="1"/>
  <c r="K56" i="1" s="1"/>
  <c r="D53" i="16" s="1"/>
  <c r="A53" i="16" s="1"/>
  <c r="I57" i="1"/>
  <c r="J57" i="1" l="1"/>
  <c r="K57" i="1" s="1"/>
  <c r="D54" i="16" s="1"/>
  <c r="A54" i="16" s="1"/>
  <c r="I58" i="1"/>
  <c r="J57" i="2"/>
  <c r="K57" i="2" s="1"/>
  <c r="E54" i="16" s="1"/>
  <c r="I58" i="2"/>
  <c r="I59" i="2" l="1"/>
  <c r="J58" i="2"/>
  <c r="K58" i="2" s="1"/>
  <c r="E55" i="16" s="1"/>
  <c r="J58" i="1"/>
  <c r="K58" i="1" s="1"/>
  <c r="D55" i="16" s="1"/>
  <c r="A55" i="16" s="1"/>
  <c r="I59" i="1"/>
  <c r="J59" i="1" l="1"/>
  <c r="K59" i="1" s="1"/>
  <c r="D56" i="16" s="1"/>
  <c r="A56" i="16" s="1"/>
  <c r="I60" i="1"/>
  <c r="I60" i="2"/>
  <c r="J59" i="2"/>
  <c r="K59" i="2" s="1"/>
  <c r="E56" i="16" s="1"/>
  <c r="I61" i="1" l="1"/>
  <c r="J60" i="1"/>
  <c r="K60" i="1" s="1"/>
  <c r="D57" i="16" s="1"/>
  <c r="A57" i="16" s="1"/>
  <c r="I61" i="2"/>
  <c r="J60" i="2"/>
  <c r="K60" i="2" s="1"/>
  <c r="E57" i="16" s="1"/>
  <c r="J61" i="2" l="1"/>
  <c r="K61" i="2" s="1"/>
  <c r="E58" i="16" s="1"/>
  <c r="I62" i="2"/>
  <c r="J61" i="1"/>
  <c r="K61" i="1" s="1"/>
  <c r="D58" i="16" s="1"/>
  <c r="A58" i="16" s="1"/>
  <c r="I62" i="1"/>
  <c r="I63" i="1" l="1"/>
  <c r="J62" i="1"/>
  <c r="K62" i="1" s="1"/>
  <c r="D59" i="16" s="1"/>
  <c r="A59" i="16" s="1"/>
  <c r="J62" i="2"/>
  <c r="K62" i="2" s="1"/>
  <c r="E59" i="16" s="1"/>
  <c r="I63" i="2"/>
  <c r="J63" i="2" l="1"/>
  <c r="K63" i="2" s="1"/>
  <c r="E60" i="16" s="1"/>
  <c r="I64" i="2"/>
  <c r="J63" i="1"/>
  <c r="K63" i="1" s="1"/>
  <c r="D60" i="16" s="1"/>
  <c r="A60" i="16" s="1"/>
  <c r="I64" i="1"/>
  <c r="J64" i="1" l="1"/>
  <c r="K64" i="1" s="1"/>
  <c r="D61" i="16" s="1"/>
  <c r="A61" i="16" s="1"/>
  <c r="I65" i="1"/>
  <c r="I65" i="2"/>
  <c r="J64" i="2"/>
  <c r="K64" i="2" s="1"/>
  <c r="E61" i="16" s="1"/>
  <c r="J65" i="1" l="1"/>
  <c r="K65" i="1" s="1"/>
  <c r="D62" i="16" s="1"/>
  <c r="A62" i="16" s="1"/>
  <c r="I66" i="1"/>
  <c r="I66" i="2"/>
  <c r="J65" i="2"/>
  <c r="K65" i="2" s="1"/>
  <c r="E62" i="16" s="1"/>
  <c r="J66" i="2" l="1"/>
  <c r="K66" i="2" s="1"/>
  <c r="E63" i="16" s="1"/>
  <c r="I67" i="2"/>
  <c r="I67" i="1"/>
  <c r="J66" i="1"/>
  <c r="K66" i="1" s="1"/>
  <c r="D63" i="16" s="1"/>
  <c r="A63" i="16" s="1"/>
  <c r="J67" i="1" l="1"/>
  <c r="K67" i="1" s="1"/>
  <c r="D64" i="16" s="1"/>
  <c r="A64" i="16" s="1"/>
  <c r="I68" i="1"/>
  <c r="J67" i="2"/>
  <c r="K67" i="2" s="1"/>
  <c r="E64" i="16" s="1"/>
  <c r="I68" i="2"/>
  <c r="I69" i="2" l="1"/>
  <c r="J68" i="2"/>
  <c r="K68" i="2" s="1"/>
  <c r="E65" i="16" s="1"/>
  <c r="I69" i="1"/>
  <c r="J68" i="1"/>
  <c r="K68" i="1" s="1"/>
  <c r="D65" i="16" s="1"/>
  <c r="A65" i="16" s="1"/>
  <c r="J69" i="1" l="1"/>
  <c r="K69" i="1" s="1"/>
  <c r="D66" i="16" s="1"/>
  <c r="A66" i="16" s="1"/>
  <c r="I70" i="1"/>
  <c r="J69" i="2"/>
  <c r="K69" i="2" s="1"/>
  <c r="E66" i="16" s="1"/>
  <c r="I70" i="2"/>
  <c r="I71" i="2" l="1"/>
  <c r="J70" i="2"/>
  <c r="K70" i="2" s="1"/>
  <c r="E67" i="16" s="1"/>
  <c r="I71" i="1"/>
  <c r="J70" i="1"/>
  <c r="K70" i="1" s="1"/>
  <c r="D67" i="16" s="1"/>
  <c r="A67" i="16" s="1"/>
  <c r="I72" i="1" l="1"/>
  <c r="J71" i="1"/>
  <c r="K71" i="1" s="1"/>
  <c r="D68" i="16" s="1"/>
  <c r="A68" i="16" s="1"/>
  <c r="I72" i="2"/>
  <c r="J71" i="2"/>
  <c r="K71" i="2" s="1"/>
  <c r="E68" i="16" s="1"/>
  <c r="J72" i="2" l="1"/>
  <c r="K72" i="2" s="1"/>
  <c r="E69" i="16" s="1"/>
  <c r="I73" i="2"/>
  <c r="I73" i="1"/>
  <c r="J72" i="1"/>
  <c r="K72" i="1" s="1"/>
  <c r="D69" i="16" s="1"/>
  <c r="A69" i="16" s="1"/>
  <c r="I74" i="2" l="1"/>
  <c r="J73" i="2"/>
  <c r="K73" i="2" s="1"/>
  <c r="E70" i="16" s="1"/>
  <c r="I74" i="1"/>
  <c r="J73" i="1"/>
  <c r="K73" i="1" s="1"/>
  <c r="D70" i="16" s="1"/>
  <c r="A70" i="16" s="1"/>
  <c r="I75" i="1" l="1"/>
  <c r="J74" i="1"/>
  <c r="K74" i="1" s="1"/>
  <c r="D71" i="16" s="1"/>
  <c r="A71" i="16" s="1"/>
  <c r="J74" i="2"/>
  <c r="K74" i="2" s="1"/>
  <c r="E71" i="16" s="1"/>
  <c r="I75" i="2"/>
  <c r="I76" i="1" l="1"/>
  <c r="J75" i="1"/>
  <c r="K75" i="1" s="1"/>
  <c r="D72" i="16" s="1"/>
  <c r="A72" i="16" s="1"/>
  <c r="I76" i="2"/>
  <c r="J75" i="2"/>
  <c r="K75" i="2" s="1"/>
  <c r="E72" i="16" s="1"/>
  <c r="I77" i="2" l="1"/>
  <c r="J76" i="2"/>
  <c r="K76" i="2" s="1"/>
  <c r="E73" i="16" s="1"/>
  <c r="I77" i="1"/>
  <c r="J76" i="1"/>
  <c r="K76" i="1" s="1"/>
  <c r="D73" i="16" s="1"/>
  <c r="A73" i="16" s="1"/>
  <c r="J77" i="1" l="1"/>
  <c r="K77" i="1" s="1"/>
  <c r="D74" i="16" s="1"/>
  <c r="A74" i="16" s="1"/>
  <c r="I78" i="1"/>
  <c r="I78" i="2"/>
  <c r="J77" i="2"/>
  <c r="K77" i="2" s="1"/>
  <c r="E74" i="16" s="1"/>
  <c r="J78" i="2" l="1"/>
  <c r="K78" i="2" s="1"/>
  <c r="E75" i="16" s="1"/>
  <c r="I79" i="2"/>
  <c r="J78" i="1"/>
  <c r="K78" i="1" s="1"/>
  <c r="D75" i="16" s="1"/>
  <c r="A75" i="16" s="1"/>
  <c r="I79" i="1"/>
  <c r="I80" i="1" l="1"/>
  <c r="J79" i="1"/>
  <c r="J79" i="2"/>
  <c r="I80" i="2"/>
  <c r="K79" i="2" l="1"/>
  <c r="E76" i="16" s="1"/>
  <c r="I81" i="2"/>
  <c r="J80" i="2"/>
  <c r="K79" i="1"/>
  <c r="D76" i="16" s="1"/>
  <c r="A76" i="16" s="1"/>
  <c r="I81" i="1"/>
  <c r="J80" i="1"/>
  <c r="K80" i="1" l="1"/>
  <c r="D77" i="16" s="1"/>
  <c r="A77" i="16" s="1"/>
  <c r="K80" i="2"/>
  <c r="E77" i="16" s="1"/>
  <c r="I82" i="1"/>
  <c r="J81" i="1"/>
  <c r="J81" i="2"/>
  <c r="I82" i="2"/>
  <c r="I83" i="1" l="1"/>
  <c r="J82" i="1"/>
  <c r="I83" i="2"/>
  <c r="J82" i="2"/>
  <c r="K81" i="1"/>
  <c r="D78" i="16" s="1"/>
  <c r="A78" i="16" s="1"/>
  <c r="K81" i="2"/>
  <c r="E78" i="16" s="1"/>
  <c r="K82" i="2" l="1"/>
  <c r="E79" i="16" s="1"/>
  <c r="K82" i="1"/>
  <c r="D79" i="16" s="1"/>
  <c r="A79" i="16" s="1"/>
  <c r="J83" i="2"/>
  <c r="I84" i="2"/>
  <c r="J84" i="2" s="1"/>
  <c r="J83" i="1"/>
  <c r="I84" i="1"/>
  <c r="J84" i="1" s="1"/>
  <c r="K84" i="1" l="1"/>
  <c r="D81" i="16" s="1"/>
  <c r="A81" i="16" s="1"/>
  <c r="J76" i="13"/>
  <c r="J76" i="11"/>
  <c r="K84" i="2"/>
  <c r="E81" i="16" s="1"/>
  <c r="J40" i="12"/>
  <c r="J40" i="14"/>
  <c r="K83" i="1"/>
  <c r="D80" i="16" s="1"/>
  <c r="A80" i="16" s="1"/>
  <c r="K83" i="2"/>
  <c r="E80" i="16" s="1"/>
  <c r="K40" i="14" l="1"/>
  <c r="I37" i="16" s="1"/>
  <c r="I40" i="14"/>
  <c r="K76" i="13"/>
  <c r="H73" i="16" s="1"/>
  <c r="I76" i="13"/>
  <c r="K40" i="12"/>
  <c r="G37" i="16" s="1"/>
  <c r="C37" i="16" s="1"/>
  <c r="I40" i="12"/>
  <c r="I76" i="11"/>
  <c r="K76" i="11"/>
  <c r="F73" i="16" s="1"/>
  <c r="B73" i="16" s="1"/>
  <c r="I74" i="11" l="1"/>
  <c r="J75" i="11"/>
  <c r="K75" i="11" s="1"/>
  <c r="F72" i="16" s="1"/>
  <c r="B72" i="16" s="1"/>
  <c r="I39" i="14"/>
  <c r="I74" i="13"/>
  <c r="J75" i="13"/>
  <c r="K75" i="13" s="1"/>
  <c r="H72" i="16" s="1"/>
  <c r="I38" i="14" l="1"/>
  <c r="J39" i="14"/>
  <c r="J74" i="13"/>
  <c r="K74" i="13" s="1"/>
  <c r="H71" i="16" s="1"/>
  <c r="I73" i="13"/>
  <c r="J74" i="11"/>
  <c r="K74" i="11" s="1"/>
  <c r="F71" i="16" s="1"/>
  <c r="B71" i="16" s="1"/>
  <c r="I73" i="11"/>
  <c r="I38" i="12" l="1"/>
  <c r="J39" i="12"/>
  <c r="I72" i="11"/>
  <c r="J73" i="11"/>
  <c r="K73" i="11" s="1"/>
  <c r="F70" i="16" s="1"/>
  <c r="B70" i="16" s="1"/>
  <c r="J73" i="13"/>
  <c r="K73" i="13" s="1"/>
  <c r="H70" i="16" s="1"/>
  <c r="I72" i="13"/>
  <c r="K39" i="14"/>
  <c r="I36" i="16" s="1"/>
  <c r="I37" i="14"/>
  <c r="J38" i="14"/>
  <c r="J37" i="14" l="1"/>
  <c r="I36" i="14"/>
  <c r="K38" i="14"/>
  <c r="I35" i="16" s="1"/>
  <c r="J72" i="13"/>
  <c r="K72" i="13" s="1"/>
  <c r="H69" i="16" s="1"/>
  <c r="I71" i="13"/>
  <c r="K39" i="12"/>
  <c r="G36" i="16" s="1"/>
  <c r="C36" i="16" s="1"/>
  <c r="J72" i="11"/>
  <c r="K72" i="11" s="1"/>
  <c r="F69" i="16" s="1"/>
  <c r="B69" i="16" s="1"/>
  <c r="I71" i="11"/>
  <c r="I37" i="12"/>
  <c r="J38" i="12"/>
  <c r="J37" i="12" l="1"/>
  <c r="I36" i="12"/>
  <c r="K38" i="12"/>
  <c r="G35" i="16" s="1"/>
  <c r="C35" i="16" s="1"/>
  <c r="J71" i="11"/>
  <c r="K71" i="11" s="1"/>
  <c r="F68" i="16" s="1"/>
  <c r="B68" i="16" s="1"/>
  <c r="I70" i="11"/>
  <c r="I70" i="13"/>
  <c r="J71" i="13"/>
  <c r="K71" i="13" s="1"/>
  <c r="H68" i="16" s="1"/>
  <c r="I35" i="14"/>
  <c r="J36" i="14"/>
  <c r="K37" i="14"/>
  <c r="I34" i="16" s="1"/>
  <c r="J35" i="14" l="1"/>
  <c r="I34" i="14"/>
  <c r="K36" i="14"/>
  <c r="I33" i="16" s="1"/>
  <c r="I69" i="11"/>
  <c r="J70" i="11"/>
  <c r="K70" i="11" s="1"/>
  <c r="F67" i="16" s="1"/>
  <c r="B67" i="16" s="1"/>
  <c r="J36" i="12"/>
  <c r="I35" i="12"/>
  <c r="I69" i="13"/>
  <c r="J70" i="13"/>
  <c r="K70" i="13" s="1"/>
  <c r="H67" i="16" s="1"/>
  <c r="K37" i="12"/>
  <c r="G34" i="16" s="1"/>
  <c r="C34" i="16" s="1"/>
  <c r="J35" i="12" l="1"/>
  <c r="I34" i="12"/>
  <c r="J34" i="14"/>
  <c r="I33" i="14"/>
  <c r="I68" i="13"/>
  <c r="J69" i="13"/>
  <c r="K69" i="13" s="1"/>
  <c r="H66" i="16" s="1"/>
  <c r="K36" i="12"/>
  <c r="G33" i="16" s="1"/>
  <c r="C33" i="16" s="1"/>
  <c r="I68" i="11"/>
  <c r="J69" i="11"/>
  <c r="K69" i="11" s="1"/>
  <c r="F66" i="16" s="1"/>
  <c r="B66" i="16" s="1"/>
  <c r="K35" i="14"/>
  <c r="I32" i="16" s="1"/>
  <c r="I67" i="11" l="1"/>
  <c r="J68" i="11"/>
  <c r="K68" i="11" s="1"/>
  <c r="F65" i="16" s="1"/>
  <c r="B65" i="16" s="1"/>
  <c r="J33" i="14"/>
  <c r="I32" i="14"/>
  <c r="I33" i="12"/>
  <c r="J34" i="12"/>
  <c r="J68" i="13"/>
  <c r="K68" i="13" s="1"/>
  <c r="H65" i="16" s="1"/>
  <c r="I67" i="13"/>
  <c r="K34" i="14"/>
  <c r="I31" i="16" s="1"/>
  <c r="K35" i="12"/>
  <c r="G32" i="16" s="1"/>
  <c r="C32" i="16" s="1"/>
  <c r="I66" i="13" l="1"/>
  <c r="J67" i="13"/>
  <c r="K67" i="13" s="1"/>
  <c r="H64" i="16" s="1"/>
  <c r="K34" i="12"/>
  <c r="G31" i="16" s="1"/>
  <c r="C31" i="16" s="1"/>
  <c r="J32" i="14"/>
  <c r="I31" i="14"/>
  <c r="J33" i="12"/>
  <c r="I32" i="12"/>
  <c r="K33" i="14"/>
  <c r="I30" i="16" s="1"/>
  <c r="J67" i="11"/>
  <c r="K67" i="11" s="1"/>
  <c r="F64" i="16" s="1"/>
  <c r="B64" i="16" s="1"/>
  <c r="I66" i="11"/>
  <c r="J66" i="11" l="1"/>
  <c r="K66" i="11" s="1"/>
  <c r="F63" i="16" s="1"/>
  <c r="B63" i="16" s="1"/>
  <c r="I65" i="11"/>
  <c r="I31" i="12"/>
  <c r="J32" i="12"/>
  <c r="J31" i="14"/>
  <c r="I30" i="14"/>
  <c r="K33" i="12"/>
  <c r="G30" i="16" s="1"/>
  <c r="C30" i="16" s="1"/>
  <c r="K32" i="14"/>
  <c r="I29" i="16" s="1"/>
  <c r="J66" i="13"/>
  <c r="K66" i="13" s="1"/>
  <c r="H63" i="16" s="1"/>
  <c r="I65" i="13"/>
  <c r="J30" i="14" l="1"/>
  <c r="K30" i="14" s="1"/>
  <c r="I27" i="16" s="1"/>
  <c r="I29" i="14"/>
  <c r="K32" i="12"/>
  <c r="G29" i="16" s="1"/>
  <c r="C29" i="16" s="1"/>
  <c r="I64" i="11"/>
  <c r="J65" i="11"/>
  <c r="K65" i="11" s="1"/>
  <c r="F62" i="16" s="1"/>
  <c r="B62" i="16" s="1"/>
  <c r="J65" i="13"/>
  <c r="K65" i="13" s="1"/>
  <c r="H62" i="16" s="1"/>
  <c r="I64" i="13"/>
  <c r="K31" i="14"/>
  <c r="I28" i="16" s="1"/>
  <c r="J31" i="12"/>
  <c r="I30" i="12"/>
  <c r="I63" i="13" l="1"/>
  <c r="J64" i="13"/>
  <c r="K64" i="13" s="1"/>
  <c r="H61" i="16" s="1"/>
  <c r="J29" i="14"/>
  <c r="K29" i="14" s="1"/>
  <c r="I26" i="16" s="1"/>
  <c r="I28" i="14"/>
  <c r="J30" i="12"/>
  <c r="K30" i="12" s="1"/>
  <c r="G27" i="16" s="1"/>
  <c r="C27" i="16" s="1"/>
  <c r="I29" i="12"/>
  <c r="K31" i="12"/>
  <c r="G28" i="16" s="1"/>
  <c r="C28" i="16" s="1"/>
  <c r="I63" i="11"/>
  <c r="J64" i="11"/>
  <c r="K64" i="11" s="1"/>
  <c r="F61" i="16" s="1"/>
  <c r="B61" i="16" s="1"/>
  <c r="J63" i="11" l="1"/>
  <c r="K63" i="11" s="1"/>
  <c r="F60" i="16" s="1"/>
  <c r="B60" i="16" s="1"/>
  <c r="I62" i="11"/>
  <c r="I28" i="12"/>
  <c r="J29" i="12"/>
  <c r="K29" i="12" s="1"/>
  <c r="G26" i="16" s="1"/>
  <c r="C26" i="16" s="1"/>
  <c r="I27" i="14"/>
  <c r="J28" i="14"/>
  <c r="K28" i="14" s="1"/>
  <c r="I25" i="16" s="1"/>
  <c r="J63" i="13"/>
  <c r="K63" i="13" s="1"/>
  <c r="H60" i="16" s="1"/>
  <c r="I62" i="13"/>
  <c r="J27" i="14" l="1"/>
  <c r="K27" i="14" s="1"/>
  <c r="I24" i="16" s="1"/>
  <c r="I26" i="14"/>
  <c r="J28" i="12"/>
  <c r="K28" i="12" s="1"/>
  <c r="G25" i="16" s="1"/>
  <c r="C25" i="16" s="1"/>
  <c r="I27" i="12"/>
  <c r="I61" i="13"/>
  <c r="J62" i="13"/>
  <c r="K62" i="13" s="1"/>
  <c r="H59" i="16" s="1"/>
  <c r="I61" i="11"/>
  <c r="J62" i="11"/>
  <c r="K62" i="11" s="1"/>
  <c r="F59" i="16" s="1"/>
  <c r="B59" i="16" s="1"/>
  <c r="J27" i="12" l="1"/>
  <c r="K27" i="12" s="1"/>
  <c r="G24" i="16" s="1"/>
  <c r="C24" i="16" s="1"/>
  <c r="I26" i="12"/>
  <c r="J26" i="14"/>
  <c r="K26" i="14" s="1"/>
  <c r="I23" i="16" s="1"/>
  <c r="I25" i="14"/>
  <c r="I60" i="11"/>
  <c r="J61" i="11"/>
  <c r="K61" i="11" s="1"/>
  <c r="F58" i="16" s="1"/>
  <c r="B58" i="16" s="1"/>
  <c r="I60" i="13"/>
  <c r="J61" i="13"/>
  <c r="K61" i="13" s="1"/>
  <c r="H58" i="16" s="1"/>
  <c r="I59" i="13" l="1"/>
  <c r="J60" i="13"/>
  <c r="K60" i="13" s="1"/>
  <c r="H57" i="16" s="1"/>
  <c r="I59" i="11"/>
  <c r="J60" i="11"/>
  <c r="K60" i="11" s="1"/>
  <c r="F57" i="16" s="1"/>
  <c r="B57" i="16" s="1"/>
  <c r="J25" i="14"/>
  <c r="K25" i="14" s="1"/>
  <c r="I22" i="16" s="1"/>
  <c r="J26" i="12"/>
  <c r="K26" i="12" s="1"/>
  <c r="G23" i="16" s="1"/>
  <c r="C23" i="16" s="1"/>
  <c r="I25" i="12"/>
  <c r="J25" i="12" l="1"/>
  <c r="K25" i="12" s="1"/>
  <c r="G22" i="16" s="1"/>
  <c r="C22" i="16" s="1"/>
  <c r="I58" i="11"/>
  <c r="J59" i="11"/>
  <c r="K59" i="11" s="1"/>
  <c r="F56" i="16" s="1"/>
  <c r="B56" i="16" s="1"/>
  <c r="I58" i="13"/>
  <c r="J59" i="13"/>
  <c r="K59" i="13" s="1"/>
  <c r="H56" i="16" s="1"/>
  <c r="J76" i="5" l="1"/>
  <c r="I57" i="13"/>
  <c r="J58" i="13"/>
  <c r="K58" i="13" s="1"/>
  <c r="H55" i="16" s="1"/>
  <c r="I57" i="11"/>
  <c r="J58" i="11"/>
  <c r="K58" i="11" s="1"/>
  <c r="F55" i="16" s="1"/>
  <c r="B55" i="16" s="1"/>
  <c r="K76" i="5" l="1"/>
  <c r="K73" i="16" s="1"/>
  <c r="I76" i="5"/>
  <c r="I56" i="11"/>
  <c r="J57" i="11"/>
  <c r="K57" i="11" s="1"/>
  <c r="F54" i="16" s="1"/>
  <c r="B54" i="16" s="1"/>
  <c r="I56" i="13"/>
  <c r="J57" i="13"/>
  <c r="K57" i="13" s="1"/>
  <c r="H54" i="16" s="1"/>
  <c r="I55" i="13" l="1"/>
  <c r="J56" i="13"/>
  <c r="K56" i="13" s="1"/>
  <c r="H53" i="16" s="1"/>
  <c r="I55" i="11"/>
  <c r="J56" i="11"/>
  <c r="K56" i="11" s="1"/>
  <c r="F53" i="16" s="1"/>
  <c r="B53" i="16" s="1"/>
  <c r="J55" i="11" l="1"/>
  <c r="K55" i="11" s="1"/>
  <c r="F52" i="16" s="1"/>
  <c r="B52" i="16" s="1"/>
  <c r="I54" i="11"/>
  <c r="J75" i="5"/>
  <c r="K75" i="5" s="1"/>
  <c r="K72" i="16" s="1"/>
  <c r="I74" i="5"/>
  <c r="J55" i="13"/>
  <c r="K55" i="13" s="1"/>
  <c r="H52" i="16" s="1"/>
  <c r="I54" i="13"/>
  <c r="J54" i="13" l="1"/>
  <c r="K54" i="13" s="1"/>
  <c r="H51" i="16" s="1"/>
  <c r="I53" i="13"/>
  <c r="J74" i="5"/>
  <c r="K74" i="5" s="1"/>
  <c r="K71" i="16" s="1"/>
  <c r="I73" i="5"/>
  <c r="J54" i="11"/>
  <c r="K54" i="11" s="1"/>
  <c r="F51" i="16" s="1"/>
  <c r="B51" i="16" s="1"/>
  <c r="I53" i="11"/>
  <c r="J53" i="11" l="1"/>
  <c r="K53" i="11" s="1"/>
  <c r="F50" i="16" s="1"/>
  <c r="B50" i="16" s="1"/>
  <c r="I52" i="11"/>
  <c r="I72" i="5"/>
  <c r="J73" i="5"/>
  <c r="K73" i="5" s="1"/>
  <c r="K70" i="16" s="1"/>
  <c r="J53" i="13"/>
  <c r="K53" i="13" s="1"/>
  <c r="H50" i="16" s="1"/>
  <c r="I52" i="13"/>
  <c r="J72" i="5" l="1"/>
  <c r="K72" i="5" s="1"/>
  <c r="K69" i="16" s="1"/>
  <c r="I71" i="5"/>
  <c r="J52" i="13"/>
  <c r="K52" i="13" s="1"/>
  <c r="H49" i="16" s="1"/>
  <c r="I51" i="13"/>
  <c r="I51" i="11"/>
  <c r="J52" i="11"/>
  <c r="K52" i="11" s="1"/>
  <c r="F49" i="16" s="1"/>
  <c r="B49" i="16" s="1"/>
  <c r="I50" i="11" l="1"/>
  <c r="J51" i="11"/>
  <c r="K51" i="11" s="1"/>
  <c r="F48" i="16" s="1"/>
  <c r="B48" i="16" s="1"/>
  <c r="J51" i="13"/>
  <c r="K51" i="13" s="1"/>
  <c r="H48" i="16" s="1"/>
  <c r="I50" i="13"/>
  <c r="I70" i="5"/>
  <c r="J71" i="5"/>
  <c r="K71" i="5" s="1"/>
  <c r="K68" i="16" s="1"/>
  <c r="J50" i="13" l="1"/>
  <c r="K50" i="13" s="1"/>
  <c r="H47" i="16" s="1"/>
  <c r="I49" i="13"/>
  <c r="I69" i="5"/>
  <c r="J70" i="5"/>
  <c r="K70" i="5" s="1"/>
  <c r="K67" i="16" s="1"/>
  <c r="I49" i="11"/>
  <c r="J50" i="11"/>
  <c r="K50" i="11" s="1"/>
  <c r="F47" i="16" s="1"/>
  <c r="B47" i="16" s="1"/>
  <c r="J69" i="5" l="1"/>
  <c r="K69" i="5" s="1"/>
  <c r="K66" i="16" s="1"/>
  <c r="I68" i="5"/>
  <c r="J49" i="13"/>
  <c r="K49" i="13" s="1"/>
  <c r="H46" i="16" s="1"/>
  <c r="I48" i="13"/>
  <c r="I48" i="11"/>
  <c r="J49" i="11"/>
  <c r="K49" i="11" s="1"/>
  <c r="F46" i="16" s="1"/>
  <c r="B46" i="16" s="1"/>
  <c r="J48" i="13" l="1"/>
  <c r="K48" i="13" s="1"/>
  <c r="H45" i="16" s="1"/>
  <c r="I47" i="13"/>
  <c r="I67" i="5"/>
  <c r="J68" i="5"/>
  <c r="K68" i="5" s="1"/>
  <c r="K65" i="16" s="1"/>
  <c r="J48" i="11"/>
  <c r="K48" i="11" s="1"/>
  <c r="F45" i="16" s="1"/>
  <c r="B45" i="16" s="1"/>
  <c r="I47" i="11"/>
  <c r="I46" i="11" l="1"/>
  <c r="J47" i="11"/>
  <c r="K47" i="11" s="1"/>
  <c r="F44" i="16" s="1"/>
  <c r="B44" i="16" s="1"/>
  <c r="J47" i="13"/>
  <c r="K47" i="13" s="1"/>
  <c r="H44" i="16" s="1"/>
  <c r="I46" i="13"/>
  <c r="I66" i="5"/>
  <c r="J67" i="5"/>
  <c r="K67" i="5" s="1"/>
  <c r="K64" i="16" s="1"/>
  <c r="I45" i="13" l="1"/>
  <c r="J46" i="13"/>
  <c r="K46" i="13" s="1"/>
  <c r="H43" i="16" s="1"/>
  <c r="J66" i="5"/>
  <c r="K66" i="5" s="1"/>
  <c r="K63" i="16" s="1"/>
  <c r="I65" i="5"/>
  <c r="I45" i="11"/>
  <c r="J46" i="11"/>
  <c r="K46" i="11" s="1"/>
  <c r="F43" i="16" s="1"/>
  <c r="B43" i="16" s="1"/>
  <c r="I64" i="5" l="1"/>
  <c r="J65" i="5"/>
  <c r="K65" i="5" s="1"/>
  <c r="K62" i="16" s="1"/>
  <c r="J45" i="11"/>
  <c r="K45" i="11" s="1"/>
  <c r="F42" i="16" s="1"/>
  <c r="B42" i="16" s="1"/>
  <c r="I44" i="11"/>
  <c r="I44" i="13"/>
  <c r="J45" i="13"/>
  <c r="K45" i="13" s="1"/>
  <c r="H42" i="16" s="1"/>
  <c r="I43" i="11" l="1"/>
  <c r="J44" i="11"/>
  <c r="K44" i="11" s="1"/>
  <c r="F41" i="16" s="1"/>
  <c r="B41" i="16" s="1"/>
  <c r="J44" i="13"/>
  <c r="K44" i="13" s="1"/>
  <c r="H41" i="16" s="1"/>
  <c r="I43" i="13"/>
  <c r="I63" i="5"/>
  <c r="J64" i="5"/>
  <c r="K64" i="5" s="1"/>
  <c r="K61" i="16" s="1"/>
  <c r="J43" i="13" l="1"/>
  <c r="K43" i="13" s="1"/>
  <c r="H40" i="16" s="1"/>
  <c r="J63" i="5"/>
  <c r="K63" i="5" s="1"/>
  <c r="K60" i="16" s="1"/>
  <c r="I62" i="5"/>
  <c r="J43" i="11"/>
  <c r="K43" i="11" s="1"/>
  <c r="F40" i="16" s="1"/>
  <c r="B40" i="16" s="1"/>
  <c r="J62" i="5" l="1"/>
  <c r="K62" i="5" s="1"/>
  <c r="K59" i="16" s="1"/>
  <c r="I61" i="5"/>
  <c r="J61" i="5" l="1"/>
  <c r="K61" i="5" s="1"/>
  <c r="K58" i="16" s="1"/>
  <c r="I60" i="5"/>
  <c r="J40" i="3"/>
  <c r="J60" i="5" l="1"/>
  <c r="K60" i="5" s="1"/>
  <c r="K57" i="16" s="1"/>
  <c r="I59" i="5"/>
  <c r="K40" i="3"/>
  <c r="J37" i="16" s="1"/>
  <c r="I40" i="3"/>
  <c r="J59" i="5" l="1"/>
  <c r="K59" i="5" s="1"/>
  <c r="K56" i="16" s="1"/>
  <c r="I58" i="5"/>
  <c r="I38" i="3" l="1"/>
  <c r="J39" i="3"/>
  <c r="I57" i="5"/>
  <c r="J58" i="5"/>
  <c r="K58" i="5" s="1"/>
  <c r="K55" i="16" s="1"/>
  <c r="J57" i="5" l="1"/>
  <c r="K57" i="5" s="1"/>
  <c r="K54" i="16" s="1"/>
  <c r="I56" i="5"/>
  <c r="K39" i="3"/>
  <c r="J36" i="16" s="1"/>
  <c r="J38" i="3"/>
  <c r="I37" i="3"/>
  <c r="J37" i="3" l="1"/>
  <c r="I36" i="3"/>
  <c r="I55" i="5"/>
  <c r="J56" i="5"/>
  <c r="K56" i="5" s="1"/>
  <c r="K53" i="16" s="1"/>
  <c r="K38" i="3"/>
  <c r="J35" i="16" s="1"/>
  <c r="J36" i="3" l="1"/>
  <c r="I35" i="3"/>
  <c r="I54" i="5"/>
  <c r="J55" i="5"/>
  <c r="K55" i="5" s="1"/>
  <c r="K52" i="16" s="1"/>
  <c r="K37" i="3"/>
  <c r="J34" i="16" s="1"/>
  <c r="I34" i="3" l="1"/>
  <c r="J35" i="3"/>
  <c r="I53" i="5"/>
  <c r="J54" i="5"/>
  <c r="K54" i="5" s="1"/>
  <c r="K51" i="16" s="1"/>
  <c r="K36" i="3"/>
  <c r="J33" i="16" s="1"/>
  <c r="J53" i="5" l="1"/>
  <c r="K53" i="5" s="1"/>
  <c r="K50" i="16" s="1"/>
  <c r="I52" i="5"/>
  <c r="K35" i="3"/>
  <c r="J32" i="16" s="1"/>
  <c r="J34" i="3"/>
  <c r="I33" i="3"/>
  <c r="K34" i="3" l="1"/>
  <c r="J31" i="16" s="1"/>
  <c r="J33" i="3"/>
  <c r="I32" i="3"/>
  <c r="J52" i="5"/>
  <c r="K52" i="5" s="1"/>
  <c r="K49" i="16" s="1"/>
  <c r="I51" i="5"/>
  <c r="I50" i="5" l="1"/>
  <c r="J51" i="5"/>
  <c r="K51" i="5" s="1"/>
  <c r="K48" i="16" s="1"/>
  <c r="J32" i="3"/>
  <c r="I31" i="3"/>
  <c r="K33" i="3"/>
  <c r="J30" i="16" s="1"/>
  <c r="J50" i="5" l="1"/>
  <c r="K50" i="5" s="1"/>
  <c r="K47" i="16" s="1"/>
  <c r="I49" i="5"/>
  <c r="J31" i="3"/>
  <c r="I30" i="3"/>
  <c r="K32" i="3"/>
  <c r="J29" i="16" s="1"/>
  <c r="K31" i="3" l="1"/>
  <c r="J28" i="16" s="1"/>
  <c r="J30" i="3"/>
  <c r="K30" i="3" s="1"/>
  <c r="J27" i="16" s="1"/>
  <c r="I29" i="3"/>
  <c r="J49" i="5"/>
  <c r="K49" i="5" s="1"/>
  <c r="K46" i="16" s="1"/>
  <c r="I48" i="5"/>
  <c r="J48" i="5" l="1"/>
  <c r="K48" i="5" s="1"/>
  <c r="K45" i="16" s="1"/>
  <c r="I47" i="5"/>
  <c r="I28" i="3"/>
  <c r="J29" i="3"/>
  <c r="K29" i="3" s="1"/>
  <c r="J26" i="16" s="1"/>
  <c r="I46" i="5" l="1"/>
  <c r="J47" i="5"/>
  <c r="K47" i="5" s="1"/>
  <c r="K44" i="16" s="1"/>
  <c r="I27" i="3"/>
  <c r="J28" i="3"/>
  <c r="K28" i="3" s="1"/>
  <c r="J25" i="16" s="1"/>
  <c r="J27" i="3" l="1"/>
  <c r="K27" i="3" s="1"/>
  <c r="J24" i="16" s="1"/>
  <c r="I26" i="3"/>
  <c r="I45" i="5"/>
  <c r="J46" i="5"/>
  <c r="K46" i="5" s="1"/>
  <c r="K43" i="16" s="1"/>
  <c r="I44" i="5" l="1"/>
  <c r="J45" i="5"/>
  <c r="K45" i="5" s="1"/>
  <c r="K42" i="16" s="1"/>
  <c r="J26" i="3"/>
  <c r="K26" i="3" s="1"/>
  <c r="J23" i="16" s="1"/>
  <c r="I25" i="3"/>
  <c r="J25" i="3" l="1"/>
  <c r="K25" i="3" s="1"/>
  <c r="J22" i="16" s="1"/>
  <c r="J44" i="5"/>
  <c r="K44" i="5" s="1"/>
  <c r="K41" i="16" s="1"/>
  <c r="I43" i="5"/>
  <c r="J43" i="5" l="1"/>
  <c r="K43" i="5" s="1"/>
  <c r="K40" i="16" s="1"/>
  <c r="I75" i="11" l="1"/>
  <c r="I75" i="13"/>
  <c r="I75" i="5" l="1"/>
  <c r="I39" i="3"/>
  <c r="I39" i="12"/>
  <c r="J26" i="1" l="1"/>
  <c r="K26" i="1" s="1"/>
  <c r="D23" i="16" s="1"/>
  <c r="A23" i="16" s="1"/>
  <c r="I27" i="1"/>
  <c r="I26" i="1" s="1"/>
  <c r="I25" i="1" s="1"/>
  <c r="J25" i="1" l="1"/>
  <c r="K25" i="1" s="1"/>
  <c r="D22" i="16" s="1"/>
  <c r="A22" i="16" s="1"/>
  <c r="I24" i="1"/>
  <c r="J27" i="1"/>
  <c r="K27" i="1" s="1"/>
  <c r="D24" i="16" s="1"/>
  <c r="A24" i="16" s="1"/>
  <c r="I28" i="1"/>
  <c r="J24" i="1" l="1"/>
  <c r="K24" i="1" s="1"/>
  <c r="D21" i="16" s="1"/>
  <c r="A21" i="16" s="1"/>
  <c r="I23" i="1"/>
  <c r="J28" i="1"/>
  <c r="K28" i="1" s="1"/>
  <c r="D25" i="16" s="1"/>
  <c r="A25" i="16" s="1"/>
  <c r="I29" i="1"/>
  <c r="J23" i="1" l="1"/>
  <c r="K23" i="1" s="1"/>
  <c r="D20" i="16" s="1"/>
  <c r="A20" i="16" s="1"/>
  <c r="I22" i="1"/>
  <c r="J29" i="1"/>
  <c r="K29" i="1" s="1"/>
  <c r="D26" i="16" s="1"/>
  <c r="A26" i="16" s="1"/>
  <c r="I30" i="1"/>
  <c r="J22" i="1" l="1"/>
  <c r="K22" i="1" s="1"/>
  <c r="D19" i="16" s="1"/>
  <c r="A19" i="16" s="1"/>
  <c r="I21" i="1"/>
  <c r="J30" i="1"/>
  <c r="K30" i="1" s="1"/>
  <c r="D27" i="16" s="1"/>
  <c r="A27" i="16" s="1"/>
  <c r="I31" i="1"/>
  <c r="I20" i="1" l="1"/>
  <c r="J21" i="1"/>
  <c r="K21" i="1" s="1"/>
  <c r="D18" i="16" s="1"/>
  <c r="A18" i="16" s="1"/>
  <c r="J31" i="1"/>
  <c r="K31" i="1" s="1"/>
  <c r="D28" i="16" s="1"/>
  <c r="A28" i="16" s="1"/>
  <c r="I32" i="1"/>
  <c r="J20" i="1" l="1"/>
  <c r="K20" i="1" s="1"/>
  <c r="D17" i="16" s="1"/>
  <c r="A17" i="16" s="1"/>
  <c r="I19" i="1"/>
  <c r="J32" i="1"/>
  <c r="K32" i="1" s="1"/>
  <c r="D29" i="16" s="1"/>
  <c r="A29" i="16" s="1"/>
  <c r="I33" i="1"/>
  <c r="J19" i="1" l="1"/>
  <c r="K19" i="1" s="1"/>
  <c r="D16" i="16" s="1"/>
  <c r="A16" i="16" s="1"/>
  <c r="I18" i="1"/>
  <c r="J33" i="1"/>
  <c r="K33" i="1" s="1"/>
  <c r="D30" i="16" s="1"/>
  <c r="A30" i="16" s="1"/>
  <c r="I34" i="1"/>
  <c r="I17" i="1" l="1"/>
  <c r="J18" i="1"/>
  <c r="K18" i="1" s="1"/>
  <c r="D15" i="16" s="1"/>
  <c r="A15" i="16" s="1"/>
  <c r="J34" i="1"/>
  <c r="K34" i="1" s="1"/>
  <c r="D31" i="16" s="1"/>
  <c r="A31" i="16" s="1"/>
  <c r="I35" i="1"/>
  <c r="J17" i="1" l="1"/>
  <c r="K17" i="1" s="1"/>
  <c r="D14" i="16" s="1"/>
  <c r="A14" i="16" s="1"/>
  <c r="I16" i="1"/>
  <c r="J35" i="1"/>
  <c r="K35" i="1" s="1"/>
  <c r="D32" i="16" s="1"/>
  <c r="A32" i="16" s="1"/>
  <c r="I36" i="1"/>
  <c r="J16" i="1" l="1"/>
  <c r="K16" i="1" s="1"/>
  <c r="D13" i="16" s="1"/>
  <c r="A13" i="16" s="1"/>
  <c r="I15" i="1"/>
  <c r="J36" i="1"/>
  <c r="K36" i="1" s="1"/>
  <c r="D33" i="16" s="1"/>
  <c r="A33" i="16" s="1"/>
  <c r="I37" i="1"/>
  <c r="I14" i="1" l="1"/>
  <c r="J15" i="1"/>
  <c r="K15" i="1" s="1"/>
  <c r="D12" i="16" s="1"/>
  <c r="A12" i="16" s="1"/>
  <c r="J37" i="1"/>
  <c r="K37" i="1" s="1"/>
  <c r="D34" i="16" s="1"/>
  <c r="A34" i="16" s="1"/>
  <c r="I38" i="1"/>
  <c r="I13" i="1" l="1"/>
  <c r="J14" i="1"/>
  <c r="K14" i="1" s="1"/>
  <c r="D11" i="16" s="1"/>
  <c r="A11" i="16" s="1"/>
  <c r="J38" i="1"/>
  <c r="K38" i="1" s="1"/>
  <c r="D35" i="16" s="1"/>
  <c r="A35" i="16" s="1"/>
  <c r="I39" i="1"/>
  <c r="J13" i="1" l="1"/>
  <c r="K13" i="1" s="1"/>
  <c r="D10" i="16" s="1"/>
  <c r="A10" i="16" s="1"/>
  <c r="I12" i="1"/>
  <c r="J39" i="1"/>
  <c r="K39" i="1" s="1"/>
  <c r="D36" i="16" s="1"/>
  <c r="A36" i="16" s="1"/>
  <c r="I40" i="1"/>
  <c r="J40" i="1" l="1"/>
  <c r="I41" i="1"/>
  <c r="J12" i="1"/>
  <c r="K12" i="1" s="1"/>
  <c r="D9" i="16" s="1"/>
  <c r="A9" i="16" s="1"/>
  <c r="I11" i="1"/>
  <c r="K40" i="1"/>
  <c r="D37" i="16" s="1"/>
  <c r="A37" i="16" s="1"/>
  <c r="J11" i="1" l="1"/>
  <c r="K11" i="1" s="1"/>
  <c r="D8" i="16" s="1"/>
  <c r="A8" i="16" s="1"/>
  <c r="I10" i="1"/>
  <c r="J41" i="1"/>
  <c r="K41" i="1" s="1"/>
  <c r="D38" i="16" s="1"/>
  <c r="A38" i="16" s="1"/>
  <c r="I42" i="1"/>
  <c r="I43" i="1" l="1"/>
  <c r="J42" i="1"/>
  <c r="K42" i="1" s="1"/>
  <c r="D39" i="16" s="1"/>
  <c r="A39" i="16" s="1"/>
  <c r="J10" i="1"/>
  <c r="K10" i="1" s="1"/>
  <c r="D7" i="16" s="1"/>
  <c r="A7" i="16" s="1"/>
  <c r="I9" i="1"/>
  <c r="I27" i="2"/>
  <c r="J27" i="2" s="1"/>
  <c r="K27" i="2" s="1"/>
  <c r="E24" i="16" s="1"/>
  <c r="I28" i="2" l="1"/>
  <c r="I8" i="1"/>
  <c r="J8" i="1" s="1"/>
  <c r="K8" i="1" s="1"/>
  <c r="J9" i="1"/>
  <c r="K9" i="1" s="1"/>
  <c r="D6" i="16" s="1"/>
  <c r="A6" i="16" s="1"/>
  <c r="I26" i="2"/>
  <c r="J43" i="1"/>
  <c r="K43" i="1" s="1"/>
  <c r="D40" i="16" s="1"/>
  <c r="A40" i="16" s="1"/>
  <c r="I44" i="1"/>
  <c r="J44" i="1" l="1"/>
  <c r="K44" i="1" s="1"/>
  <c r="D41" i="16" s="1"/>
  <c r="A41" i="16" s="1"/>
  <c r="I45" i="1"/>
  <c r="I25" i="2"/>
  <c r="J26" i="2"/>
  <c r="K26" i="2" s="1"/>
  <c r="E23" i="16" s="1"/>
  <c r="D5" i="16"/>
  <c r="J28" i="2"/>
  <c r="K28" i="2" s="1"/>
  <c r="E25" i="16" s="1"/>
  <c r="I29" i="2"/>
  <c r="I46" i="1" l="1"/>
  <c r="J46" i="1" s="1"/>
  <c r="J45" i="1"/>
  <c r="K45" i="1" s="1"/>
  <c r="J29" i="2"/>
  <c r="K29" i="2" s="1"/>
  <c r="E26" i="16" s="1"/>
  <c r="I30" i="2"/>
  <c r="A5" i="16"/>
  <c r="I24" i="2"/>
  <c r="J25" i="2"/>
  <c r="K25" i="2" s="1"/>
  <c r="E22" i="16" s="1"/>
  <c r="I23" i="2" l="1"/>
  <c r="J24" i="2"/>
  <c r="K24" i="2" s="1"/>
  <c r="E21" i="16" s="1"/>
  <c r="J30" i="2"/>
  <c r="K30" i="2" s="1"/>
  <c r="E27" i="16" s="1"/>
  <c r="I31" i="2"/>
  <c r="D42" i="16"/>
  <c r="J1" i="1"/>
  <c r="K46" i="1"/>
  <c r="D43" i="16" s="1"/>
  <c r="A43" i="16" s="1"/>
  <c r="J42" i="13"/>
  <c r="J42" i="11"/>
  <c r="I8" i="14"/>
  <c r="J8" i="14" s="1"/>
  <c r="K8" i="14" s="1"/>
  <c r="I5" i="16" s="1"/>
  <c r="I8" i="12"/>
  <c r="J8" i="12" s="1"/>
  <c r="K8" i="12" s="1"/>
  <c r="G5" i="16" s="1"/>
  <c r="C5" i="16" s="1"/>
  <c r="I42" i="11" l="1"/>
  <c r="K42" i="11"/>
  <c r="F39" i="16" s="1"/>
  <c r="B39" i="16" s="1"/>
  <c r="J2" i="1"/>
  <c r="J3" i="1" s="1"/>
  <c r="J31" i="2"/>
  <c r="K31" i="2" s="1"/>
  <c r="E28" i="16" s="1"/>
  <c r="I32" i="2"/>
  <c r="K42" i="13"/>
  <c r="H39" i="16" s="1"/>
  <c r="I42" i="13"/>
  <c r="A42" i="16"/>
  <c r="D1" i="16"/>
  <c r="D2" i="16"/>
  <c r="I22" i="2"/>
  <c r="J23" i="2"/>
  <c r="K23" i="2" s="1"/>
  <c r="E20" i="16" s="1"/>
  <c r="J22" i="2" l="1"/>
  <c r="K22" i="2" s="1"/>
  <c r="E19" i="16" s="1"/>
  <c r="I21" i="2"/>
  <c r="J32" i="2"/>
  <c r="K32" i="2" s="1"/>
  <c r="E29" i="16" s="1"/>
  <c r="I33" i="2"/>
  <c r="J33" i="2" l="1"/>
  <c r="K33" i="2" s="1"/>
  <c r="E30" i="16" s="1"/>
  <c r="I34" i="2"/>
  <c r="J21" i="2"/>
  <c r="K21" i="2" s="1"/>
  <c r="E18" i="16" s="1"/>
  <c r="I20" i="2"/>
  <c r="I19" i="2" l="1"/>
  <c r="J20" i="2"/>
  <c r="K20" i="2" s="1"/>
  <c r="E17" i="16" s="1"/>
  <c r="J34" i="2"/>
  <c r="K34" i="2" s="1"/>
  <c r="E31" i="16" s="1"/>
  <c r="I35" i="2"/>
  <c r="J35" i="2" l="1"/>
  <c r="K35" i="2" s="1"/>
  <c r="E32" i="16" s="1"/>
  <c r="I36" i="2"/>
  <c r="J19" i="2"/>
  <c r="K19" i="2" s="1"/>
  <c r="E16" i="16" s="1"/>
  <c r="I18" i="2"/>
  <c r="I17" i="2" l="1"/>
  <c r="J18" i="2"/>
  <c r="K18" i="2" s="1"/>
  <c r="E15" i="16" s="1"/>
  <c r="J36" i="2"/>
  <c r="K36" i="2" s="1"/>
  <c r="E33" i="16" s="1"/>
  <c r="I37" i="2"/>
  <c r="J37" i="2" l="1"/>
  <c r="K37" i="2" s="1"/>
  <c r="E34" i="16" s="1"/>
  <c r="I38" i="2"/>
  <c r="I16" i="2"/>
  <c r="J17" i="2"/>
  <c r="K17" i="2" s="1"/>
  <c r="E14" i="16" s="1"/>
  <c r="J38" i="2" l="1"/>
  <c r="K38" i="2" s="1"/>
  <c r="E35" i="16" s="1"/>
  <c r="I39" i="2"/>
  <c r="I15" i="2"/>
  <c r="J16" i="2"/>
  <c r="K16" i="2" s="1"/>
  <c r="E13" i="16" s="1"/>
  <c r="J39" i="2" l="1"/>
  <c r="K39" i="2" s="1"/>
  <c r="E36" i="16" s="1"/>
  <c r="I40" i="2"/>
  <c r="J15" i="2"/>
  <c r="K15" i="2" s="1"/>
  <c r="E12" i="16" s="1"/>
  <c r="I14" i="2"/>
  <c r="J14" i="2" l="1"/>
  <c r="K14" i="2" s="1"/>
  <c r="E11" i="16" s="1"/>
  <c r="I13" i="2"/>
  <c r="J40" i="2"/>
  <c r="K40" i="2" s="1"/>
  <c r="E37" i="16" s="1"/>
  <c r="I41" i="2"/>
  <c r="J41" i="2" l="1"/>
  <c r="K41" i="2" s="1"/>
  <c r="E38" i="16" s="1"/>
  <c r="I42" i="2"/>
  <c r="I12" i="2"/>
  <c r="J13" i="2"/>
  <c r="K13" i="2" s="1"/>
  <c r="E10" i="16" s="1"/>
  <c r="J42" i="2" l="1"/>
  <c r="K42" i="2" s="1"/>
  <c r="E39" i="16" s="1"/>
  <c r="I43" i="2"/>
  <c r="J12" i="2"/>
  <c r="K12" i="2" s="1"/>
  <c r="E9" i="16" s="1"/>
  <c r="I11" i="2"/>
  <c r="I10" i="2" l="1"/>
  <c r="J11" i="2"/>
  <c r="K11" i="2" s="1"/>
  <c r="E8" i="16" s="1"/>
  <c r="I44" i="2"/>
  <c r="J43" i="2"/>
  <c r="K43" i="2" s="1"/>
  <c r="E40" i="16" s="1"/>
  <c r="J44" i="2" l="1"/>
  <c r="K44" i="2" s="1"/>
  <c r="E41" i="16" s="1"/>
  <c r="I45" i="2"/>
  <c r="I9" i="2"/>
  <c r="J10" i="2"/>
  <c r="K10" i="2" s="1"/>
  <c r="E7" i="16" s="1"/>
  <c r="J45" i="2" l="1"/>
  <c r="K45" i="2" s="1"/>
  <c r="E42" i="16" s="1"/>
  <c r="I46" i="2"/>
  <c r="J46" i="2" s="1"/>
  <c r="I8" i="2"/>
  <c r="J8" i="2" s="1"/>
  <c r="K8" i="2" s="1"/>
  <c r="J9" i="2"/>
  <c r="K9" i="2" s="1"/>
  <c r="E6" i="16" s="1"/>
  <c r="K46" i="2" l="1"/>
  <c r="E43" i="16" s="1"/>
  <c r="J24" i="12"/>
  <c r="J24" i="14"/>
  <c r="I8" i="13"/>
  <c r="I8" i="11"/>
  <c r="E5" i="16"/>
  <c r="J1" i="2"/>
  <c r="J3" i="2" s="1"/>
  <c r="J2" i="2"/>
  <c r="E1" i="16" l="1"/>
  <c r="E2" i="16"/>
  <c r="J8" i="13"/>
  <c r="K8" i="13" s="1"/>
  <c r="H5" i="16" s="1"/>
  <c r="N5" i="13"/>
  <c r="I24" i="12"/>
  <c r="N5" i="12" s="1"/>
  <c r="I23" i="12" s="1"/>
  <c r="K24" i="12"/>
  <c r="G21" i="16" s="1"/>
  <c r="C21" i="16" s="1"/>
  <c r="J8" i="11"/>
  <c r="K8" i="11" s="1"/>
  <c r="F5" i="16" s="1"/>
  <c r="B5" i="16" s="1"/>
  <c r="N5" i="11"/>
  <c r="I24" i="14"/>
  <c r="N5" i="14" s="1"/>
  <c r="I23" i="14" s="1"/>
  <c r="K24" i="14"/>
  <c r="I21" i="16" s="1"/>
  <c r="I41" i="11" l="1"/>
  <c r="I41" i="13"/>
  <c r="I22" i="14"/>
  <c r="J23" i="14"/>
  <c r="K23" i="14" s="1"/>
  <c r="I20" i="16" s="1"/>
  <c r="J23" i="12"/>
  <c r="K23" i="12" s="1"/>
  <c r="G20" i="16" s="1"/>
  <c r="C20" i="16" s="1"/>
  <c r="I22" i="12"/>
  <c r="J22" i="12" l="1"/>
  <c r="K22" i="12" s="1"/>
  <c r="G19" i="16" s="1"/>
  <c r="C19" i="16" s="1"/>
  <c r="I21" i="12"/>
  <c r="I40" i="13"/>
  <c r="J41" i="13"/>
  <c r="K41" i="13" s="1"/>
  <c r="H38" i="16" s="1"/>
  <c r="I40" i="11"/>
  <c r="J41" i="11"/>
  <c r="K41" i="11" s="1"/>
  <c r="F38" i="16" s="1"/>
  <c r="B38" i="16" s="1"/>
  <c r="J22" i="14"/>
  <c r="K22" i="14" s="1"/>
  <c r="I19" i="16" s="1"/>
  <c r="I21" i="14"/>
  <c r="J21" i="14" l="1"/>
  <c r="K21" i="14" s="1"/>
  <c r="I18" i="16" s="1"/>
  <c r="I20" i="14"/>
  <c r="J21" i="12"/>
  <c r="K21" i="12" s="1"/>
  <c r="G18" i="16" s="1"/>
  <c r="C18" i="16" s="1"/>
  <c r="I20" i="12"/>
  <c r="I39" i="11"/>
  <c r="J40" i="11"/>
  <c r="K40" i="11" s="1"/>
  <c r="F37" i="16" s="1"/>
  <c r="B37" i="16" s="1"/>
  <c r="I39" i="13"/>
  <c r="J40" i="13"/>
  <c r="K40" i="13" s="1"/>
  <c r="H37" i="16" s="1"/>
  <c r="J39" i="13" l="1"/>
  <c r="K39" i="13" s="1"/>
  <c r="H36" i="16" s="1"/>
  <c r="I38" i="13"/>
  <c r="J20" i="12"/>
  <c r="K20" i="12" s="1"/>
  <c r="G17" i="16" s="1"/>
  <c r="C17" i="16" s="1"/>
  <c r="I19" i="12"/>
  <c r="I19" i="14"/>
  <c r="J20" i="14"/>
  <c r="K20" i="14" s="1"/>
  <c r="I17" i="16" s="1"/>
  <c r="J39" i="11"/>
  <c r="K39" i="11" s="1"/>
  <c r="F36" i="16" s="1"/>
  <c r="B36" i="16" s="1"/>
  <c r="I38" i="11"/>
  <c r="I37" i="11" l="1"/>
  <c r="J38" i="11"/>
  <c r="K38" i="11" s="1"/>
  <c r="F35" i="16" s="1"/>
  <c r="B35" i="16" s="1"/>
  <c r="I18" i="12"/>
  <c r="J19" i="12"/>
  <c r="K19" i="12" s="1"/>
  <c r="G16" i="16" s="1"/>
  <c r="C16" i="16" s="1"/>
  <c r="J38" i="13"/>
  <c r="K38" i="13" s="1"/>
  <c r="H35" i="16" s="1"/>
  <c r="I37" i="13"/>
  <c r="I18" i="14"/>
  <c r="J19" i="14"/>
  <c r="K19" i="14" s="1"/>
  <c r="I16" i="16" s="1"/>
  <c r="J37" i="13" l="1"/>
  <c r="K37" i="13" s="1"/>
  <c r="H34" i="16" s="1"/>
  <c r="I36" i="13"/>
  <c r="I17" i="14"/>
  <c r="J18" i="14"/>
  <c r="K18" i="14" s="1"/>
  <c r="I15" i="16" s="1"/>
  <c r="J18" i="12"/>
  <c r="K18" i="12" s="1"/>
  <c r="G15" i="16" s="1"/>
  <c r="C15" i="16" s="1"/>
  <c r="I17" i="12"/>
  <c r="J37" i="11"/>
  <c r="K37" i="11" s="1"/>
  <c r="F34" i="16" s="1"/>
  <c r="B34" i="16" s="1"/>
  <c r="I36" i="11"/>
  <c r="J17" i="14" l="1"/>
  <c r="K17" i="14" s="1"/>
  <c r="I14" i="16" s="1"/>
  <c r="I16" i="14"/>
  <c r="J36" i="11"/>
  <c r="K36" i="11" s="1"/>
  <c r="F33" i="16" s="1"/>
  <c r="B33" i="16" s="1"/>
  <c r="I35" i="11"/>
  <c r="I16" i="12"/>
  <c r="J17" i="12"/>
  <c r="K17" i="12" s="1"/>
  <c r="G14" i="16" s="1"/>
  <c r="C14" i="16" s="1"/>
  <c r="J36" i="13"/>
  <c r="K36" i="13" s="1"/>
  <c r="H33" i="16" s="1"/>
  <c r="I35" i="13"/>
  <c r="J16" i="12" l="1"/>
  <c r="I15" i="12"/>
  <c r="I34" i="13"/>
  <c r="J35" i="13"/>
  <c r="K35" i="13" s="1"/>
  <c r="H32" i="16" s="1"/>
  <c r="J35" i="11"/>
  <c r="K35" i="11" s="1"/>
  <c r="F32" i="16" s="1"/>
  <c r="B32" i="16" s="1"/>
  <c r="I34" i="11"/>
  <c r="J16" i="14"/>
  <c r="I15" i="14"/>
  <c r="J42" i="5" l="1"/>
  <c r="K16" i="14"/>
  <c r="I13" i="16" s="1"/>
  <c r="I14" i="14"/>
  <c r="J15" i="14"/>
  <c r="K15" i="14" s="1"/>
  <c r="I12" i="16" s="1"/>
  <c r="J34" i="11"/>
  <c r="K34" i="11" s="1"/>
  <c r="F31" i="16" s="1"/>
  <c r="B31" i="16" s="1"/>
  <c r="I33" i="11"/>
  <c r="I14" i="12"/>
  <c r="J15" i="12"/>
  <c r="K15" i="12" s="1"/>
  <c r="G12" i="16" s="1"/>
  <c r="C12" i="16" s="1"/>
  <c r="I33" i="13"/>
  <c r="J34" i="13"/>
  <c r="K34" i="13" s="1"/>
  <c r="H31" i="16" s="1"/>
  <c r="K16" i="12"/>
  <c r="G13" i="16" s="1"/>
  <c r="C13" i="16" s="1"/>
  <c r="I8" i="5"/>
  <c r="J8" i="5" s="1"/>
  <c r="K8" i="5" s="1"/>
  <c r="K5" i="16" s="1"/>
  <c r="I32" i="11" l="1"/>
  <c r="J33" i="11"/>
  <c r="K33" i="11" s="1"/>
  <c r="F30" i="16" s="1"/>
  <c r="B30" i="16" s="1"/>
  <c r="J33" i="13"/>
  <c r="K33" i="13" s="1"/>
  <c r="H30" i="16" s="1"/>
  <c r="I32" i="13"/>
  <c r="I13" i="12"/>
  <c r="J14" i="12"/>
  <c r="K14" i="12" s="1"/>
  <c r="G11" i="16" s="1"/>
  <c r="C11" i="16" s="1"/>
  <c r="J14" i="14"/>
  <c r="K14" i="14" s="1"/>
  <c r="I11" i="16" s="1"/>
  <c r="I13" i="14"/>
  <c r="I42" i="5"/>
  <c r="K42" i="5"/>
  <c r="K39" i="16" s="1"/>
  <c r="N5" i="5" l="1"/>
  <c r="I12" i="14"/>
  <c r="J13" i="14"/>
  <c r="K13" i="14" s="1"/>
  <c r="I10" i="16" s="1"/>
  <c r="J32" i="13"/>
  <c r="K32" i="13" s="1"/>
  <c r="H29" i="16" s="1"/>
  <c r="I31" i="13"/>
  <c r="I12" i="12"/>
  <c r="J13" i="12"/>
  <c r="K13" i="12" s="1"/>
  <c r="G10" i="16" s="1"/>
  <c r="C10" i="16" s="1"/>
  <c r="I31" i="11"/>
  <c r="J32" i="11"/>
  <c r="K32" i="11" s="1"/>
  <c r="F29" i="16" s="1"/>
  <c r="B29" i="16" s="1"/>
  <c r="I30" i="13" l="1"/>
  <c r="J31" i="13"/>
  <c r="K31" i="13" s="1"/>
  <c r="H28" i="16" s="1"/>
  <c r="J31" i="11"/>
  <c r="K31" i="11" s="1"/>
  <c r="F28" i="16" s="1"/>
  <c r="B28" i="16" s="1"/>
  <c r="I30" i="11"/>
  <c r="J12" i="12"/>
  <c r="K12" i="12" s="1"/>
  <c r="G9" i="16" s="1"/>
  <c r="C9" i="16" s="1"/>
  <c r="I11" i="12"/>
  <c r="I11" i="14"/>
  <c r="J12" i="14"/>
  <c r="K12" i="14" s="1"/>
  <c r="I9" i="16" s="1"/>
  <c r="I41" i="5"/>
  <c r="I40" i="5" l="1"/>
  <c r="J41" i="5"/>
  <c r="K41" i="5" s="1"/>
  <c r="K38" i="16" s="1"/>
  <c r="I10" i="14"/>
  <c r="J11" i="14"/>
  <c r="K11" i="14" s="1"/>
  <c r="I8" i="16" s="1"/>
  <c r="I29" i="13"/>
  <c r="J30" i="13"/>
  <c r="K30" i="13" s="1"/>
  <c r="H27" i="16" s="1"/>
  <c r="I10" i="12"/>
  <c r="J11" i="12"/>
  <c r="K11" i="12" s="1"/>
  <c r="G8" i="16" s="1"/>
  <c r="C8" i="16" s="1"/>
  <c r="I29" i="11"/>
  <c r="J30" i="11"/>
  <c r="K30" i="11" s="1"/>
  <c r="F27" i="16" s="1"/>
  <c r="B27" i="16" s="1"/>
  <c r="I28" i="11" l="1"/>
  <c r="J29" i="11"/>
  <c r="K29" i="11" s="1"/>
  <c r="F26" i="16" s="1"/>
  <c r="B26" i="16" s="1"/>
  <c r="J10" i="12"/>
  <c r="K10" i="12" s="1"/>
  <c r="G7" i="16" s="1"/>
  <c r="C7" i="16" s="1"/>
  <c r="I9" i="12"/>
  <c r="J9" i="12" s="1"/>
  <c r="K9" i="12" s="1"/>
  <c r="I28" i="13"/>
  <c r="J29" i="13"/>
  <c r="K29" i="13" s="1"/>
  <c r="H26" i="16" s="1"/>
  <c r="J10" i="14"/>
  <c r="K10" i="14" s="1"/>
  <c r="I7" i="16" s="1"/>
  <c r="I9" i="14"/>
  <c r="J9" i="14" s="1"/>
  <c r="K9" i="14" s="1"/>
  <c r="I39" i="5"/>
  <c r="J40" i="5"/>
  <c r="K40" i="5" s="1"/>
  <c r="K37" i="16" s="1"/>
  <c r="I6" i="16" l="1"/>
  <c r="J1" i="14"/>
  <c r="J2" i="14"/>
  <c r="J2" i="12"/>
  <c r="J1" i="12"/>
  <c r="J3" i="12" s="1"/>
  <c r="G6" i="16"/>
  <c r="I38" i="5"/>
  <c r="J39" i="5"/>
  <c r="K39" i="5" s="1"/>
  <c r="K36" i="16" s="1"/>
  <c r="I27" i="13"/>
  <c r="J28" i="13"/>
  <c r="K28" i="13" s="1"/>
  <c r="H25" i="16" s="1"/>
  <c r="I27" i="11"/>
  <c r="J28" i="11"/>
  <c r="K28" i="11" s="1"/>
  <c r="F25" i="16" s="1"/>
  <c r="B25" i="16" s="1"/>
  <c r="G1" i="16" l="1"/>
  <c r="C6" i="16"/>
  <c r="G2" i="16"/>
  <c r="J3" i="14"/>
  <c r="J27" i="11"/>
  <c r="K27" i="11" s="1"/>
  <c r="F24" i="16" s="1"/>
  <c r="B24" i="16" s="1"/>
  <c r="I26" i="11"/>
  <c r="I26" i="13"/>
  <c r="J27" i="13"/>
  <c r="K27" i="13" s="1"/>
  <c r="H24" i="16" s="1"/>
  <c r="I37" i="5"/>
  <c r="J38" i="5"/>
  <c r="K38" i="5" s="1"/>
  <c r="K35" i="16" s="1"/>
  <c r="I1" i="16"/>
  <c r="I2" i="16"/>
  <c r="J37" i="5" l="1"/>
  <c r="K37" i="5" s="1"/>
  <c r="K34" i="16" s="1"/>
  <c r="I36" i="5"/>
  <c r="J26" i="13"/>
  <c r="K26" i="13" s="1"/>
  <c r="H23" i="16" s="1"/>
  <c r="I25" i="13"/>
  <c r="I25" i="11"/>
  <c r="J26" i="11"/>
  <c r="K26" i="11" s="1"/>
  <c r="F23" i="16" s="1"/>
  <c r="B23" i="16" s="1"/>
  <c r="J25" i="11" l="1"/>
  <c r="I24" i="11"/>
  <c r="I24" i="13"/>
  <c r="J25" i="13"/>
  <c r="J36" i="5"/>
  <c r="K36" i="5" s="1"/>
  <c r="K33" i="16" s="1"/>
  <c r="I35" i="5"/>
  <c r="I34" i="5" l="1"/>
  <c r="J35" i="5"/>
  <c r="K35" i="5" s="1"/>
  <c r="K32" i="16" s="1"/>
  <c r="K25" i="13"/>
  <c r="H22" i="16" s="1"/>
  <c r="J24" i="3"/>
  <c r="I23" i="11"/>
  <c r="J24" i="11"/>
  <c r="K24" i="11" s="1"/>
  <c r="F21" i="16" s="1"/>
  <c r="B21" i="16" s="1"/>
  <c r="J24" i="13"/>
  <c r="K24" i="13" s="1"/>
  <c r="H21" i="16" s="1"/>
  <c r="I23" i="13"/>
  <c r="K25" i="11"/>
  <c r="F22" i="16" s="1"/>
  <c r="B22" i="16" s="1"/>
  <c r="I8" i="3"/>
  <c r="J8" i="3" s="1"/>
  <c r="K8" i="3" s="1"/>
  <c r="K24" i="3" l="1"/>
  <c r="J21" i="16" s="1"/>
  <c r="I24" i="3"/>
  <c r="N5" i="3" s="1"/>
  <c r="I23" i="3" s="1"/>
  <c r="J5" i="16"/>
  <c r="I22" i="13"/>
  <c r="J23" i="13"/>
  <c r="K23" i="13" s="1"/>
  <c r="H20" i="16" s="1"/>
  <c r="J23" i="11"/>
  <c r="K23" i="11" s="1"/>
  <c r="F20" i="16" s="1"/>
  <c r="B20" i="16" s="1"/>
  <c r="I22" i="11"/>
  <c r="I33" i="5"/>
  <c r="J34" i="5"/>
  <c r="K34" i="5" s="1"/>
  <c r="K31" i="16" s="1"/>
  <c r="I32" i="5" l="1"/>
  <c r="J33" i="5"/>
  <c r="K33" i="5" s="1"/>
  <c r="K30" i="16" s="1"/>
  <c r="I21" i="13"/>
  <c r="J22" i="13"/>
  <c r="K22" i="13" s="1"/>
  <c r="H19" i="16" s="1"/>
  <c r="J23" i="3"/>
  <c r="K23" i="3" s="1"/>
  <c r="J20" i="16" s="1"/>
  <c r="I22" i="3"/>
  <c r="I21" i="11"/>
  <c r="J22" i="11"/>
  <c r="K22" i="11" s="1"/>
  <c r="F19" i="16" s="1"/>
  <c r="B19" i="16" s="1"/>
  <c r="I20" i="11" l="1"/>
  <c r="J21" i="11"/>
  <c r="K21" i="11" s="1"/>
  <c r="F18" i="16" s="1"/>
  <c r="B18" i="16" s="1"/>
  <c r="I21" i="3"/>
  <c r="J22" i="3"/>
  <c r="K22" i="3" s="1"/>
  <c r="J19" i="16" s="1"/>
  <c r="I20" i="13"/>
  <c r="J21" i="13"/>
  <c r="K21" i="13" s="1"/>
  <c r="H18" i="16" s="1"/>
  <c r="I31" i="5"/>
  <c r="J32" i="5"/>
  <c r="K32" i="5" s="1"/>
  <c r="K29" i="16" s="1"/>
  <c r="J31" i="5" l="1"/>
  <c r="K31" i="5" s="1"/>
  <c r="K28" i="16" s="1"/>
  <c r="I30" i="5"/>
  <c r="J20" i="13"/>
  <c r="K20" i="13" s="1"/>
  <c r="H17" i="16" s="1"/>
  <c r="I19" i="13"/>
  <c r="J21" i="3"/>
  <c r="K21" i="3" s="1"/>
  <c r="J18" i="16" s="1"/>
  <c r="I20" i="3"/>
  <c r="I19" i="11"/>
  <c r="J20" i="11"/>
  <c r="K20" i="11" s="1"/>
  <c r="F17" i="16" s="1"/>
  <c r="B17" i="16" s="1"/>
  <c r="J19" i="11" l="1"/>
  <c r="K19" i="11" s="1"/>
  <c r="F16" i="16" s="1"/>
  <c r="B16" i="16" s="1"/>
  <c r="I18" i="11"/>
  <c r="I19" i="3"/>
  <c r="J20" i="3"/>
  <c r="K20" i="3" s="1"/>
  <c r="J17" i="16" s="1"/>
  <c r="J19" i="13"/>
  <c r="K19" i="13" s="1"/>
  <c r="H16" i="16" s="1"/>
  <c r="I18" i="13"/>
  <c r="I29" i="5"/>
  <c r="J30" i="5"/>
  <c r="K30" i="5" s="1"/>
  <c r="K27" i="16" s="1"/>
  <c r="I17" i="13" l="1"/>
  <c r="J18" i="13"/>
  <c r="K18" i="13" s="1"/>
  <c r="H15" i="16" s="1"/>
  <c r="J18" i="11"/>
  <c r="K18" i="11" s="1"/>
  <c r="F15" i="16" s="1"/>
  <c r="B15" i="16" s="1"/>
  <c r="I17" i="11"/>
  <c r="J29" i="5"/>
  <c r="K29" i="5" s="1"/>
  <c r="K26" i="16" s="1"/>
  <c r="I28" i="5"/>
  <c r="I18" i="3"/>
  <c r="J19" i="3"/>
  <c r="K19" i="3" s="1"/>
  <c r="J16" i="16" s="1"/>
  <c r="J18" i="3" l="1"/>
  <c r="K18" i="3" s="1"/>
  <c r="J15" i="16" s="1"/>
  <c r="I17" i="3"/>
  <c r="I27" i="5"/>
  <c r="J28" i="5"/>
  <c r="K28" i="5" s="1"/>
  <c r="K25" i="16" s="1"/>
  <c r="J17" i="11"/>
  <c r="K17" i="11" s="1"/>
  <c r="F14" i="16" s="1"/>
  <c r="B14" i="16" s="1"/>
  <c r="I16" i="11"/>
  <c r="I16" i="13"/>
  <c r="J17" i="13"/>
  <c r="K17" i="13" s="1"/>
  <c r="H14" i="16" s="1"/>
  <c r="I15" i="13" l="1"/>
  <c r="J16" i="13"/>
  <c r="K16" i="13" s="1"/>
  <c r="H13" i="16" s="1"/>
  <c r="J16" i="11"/>
  <c r="K16" i="11" s="1"/>
  <c r="F13" i="16" s="1"/>
  <c r="B13" i="16" s="1"/>
  <c r="I15" i="11"/>
  <c r="I16" i="3"/>
  <c r="J17" i="3"/>
  <c r="K17" i="3" s="1"/>
  <c r="J14" i="16" s="1"/>
  <c r="J27" i="5"/>
  <c r="K27" i="5" s="1"/>
  <c r="K24" i="16" s="1"/>
  <c r="I26" i="5"/>
  <c r="J26" i="5" l="1"/>
  <c r="K26" i="5" s="1"/>
  <c r="K23" i="16" s="1"/>
  <c r="I25" i="5"/>
  <c r="I14" i="11"/>
  <c r="J15" i="11"/>
  <c r="K15" i="11" s="1"/>
  <c r="F12" i="16" s="1"/>
  <c r="B12" i="16" s="1"/>
  <c r="J16" i="3"/>
  <c r="K16" i="3" s="1"/>
  <c r="J13" i="16" s="1"/>
  <c r="P8" i="16" s="1"/>
  <c r="I15" i="3"/>
  <c r="I14" i="13"/>
  <c r="J15" i="13"/>
  <c r="K15" i="13" s="1"/>
  <c r="H12" i="16" s="1"/>
  <c r="J14" i="13" l="1"/>
  <c r="K14" i="13" s="1"/>
  <c r="H11" i="16" s="1"/>
  <c r="I13" i="13"/>
  <c r="I14" i="3"/>
  <c r="J15" i="3"/>
  <c r="K15" i="3" s="1"/>
  <c r="J12" i="16" s="1"/>
  <c r="J25" i="5"/>
  <c r="K25" i="5" s="1"/>
  <c r="K22" i="16" s="1"/>
  <c r="I24" i="5"/>
  <c r="I13" i="11"/>
  <c r="J14" i="11"/>
  <c r="K14" i="11" s="1"/>
  <c r="F11" i="16" s="1"/>
  <c r="B11" i="16" s="1"/>
  <c r="J24" i="5" l="1"/>
  <c r="K24" i="5" s="1"/>
  <c r="K21" i="16" s="1"/>
  <c r="I23" i="5"/>
  <c r="J13" i="13"/>
  <c r="K13" i="13" s="1"/>
  <c r="H10" i="16" s="1"/>
  <c r="I12" i="13"/>
  <c r="J13" i="11"/>
  <c r="K13" i="11" s="1"/>
  <c r="F10" i="16" s="1"/>
  <c r="B10" i="16" s="1"/>
  <c r="I12" i="11"/>
  <c r="J14" i="3"/>
  <c r="K14" i="3" s="1"/>
  <c r="J11" i="16" s="1"/>
  <c r="I13" i="3"/>
  <c r="J13" i="3" l="1"/>
  <c r="K13" i="3" s="1"/>
  <c r="J10" i="16" s="1"/>
  <c r="I12" i="3"/>
  <c r="J12" i="11"/>
  <c r="K12" i="11" s="1"/>
  <c r="F9" i="16" s="1"/>
  <c r="B9" i="16" s="1"/>
  <c r="I11" i="11"/>
  <c r="I11" i="13"/>
  <c r="J12" i="13"/>
  <c r="K12" i="13" s="1"/>
  <c r="H9" i="16" s="1"/>
  <c r="J23" i="5"/>
  <c r="K23" i="5" s="1"/>
  <c r="K20" i="16" s="1"/>
  <c r="I22" i="5"/>
  <c r="J22" i="5" l="1"/>
  <c r="K22" i="5" s="1"/>
  <c r="K19" i="16" s="1"/>
  <c r="P9" i="16" s="1"/>
  <c r="I21" i="5"/>
  <c r="J11" i="11"/>
  <c r="K11" i="11" s="1"/>
  <c r="F8" i="16" s="1"/>
  <c r="B8" i="16" s="1"/>
  <c r="I10" i="11"/>
  <c r="I11" i="3"/>
  <c r="J12" i="3"/>
  <c r="K12" i="3" s="1"/>
  <c r="J9" i="16" s="1"/>
  <c r="I10" i="13"/>
  <c r="J11" i="13"/>
  <c r="K11" i="13" s="1"/>
  <c r="H8" i="16" s="1"/>
  <c r="I9" i="13" l="1"/>
  <c r="J9" i="13" s="1"/>
  <c r="K9" i="13" s="1"/>
  <c r="J10" i="13"/>
  <c r="K10" i="13" s="1"/>
  <c r="H7" i="16" s="1"/>
  <c r="I10" i="3"/>
  <c r="J11" i="3"/>
  <c r="K11" i="3" s="1"/>
  <c r="J8" i="16" s="1"/>
  <c r="I9" i="11"/>
  <c r="J9" i="11" s="1"/>
  <c r="K9" i="11" s="1"/>
  <c r="J10" i="11"/>
  <c r="K10" i="11" s="1"/>
  <c r="F7" i="16" s="1"/>
  <c r="B7" i="16" s="1"/>
  <c r="J21" i="5"/>
  <c r="K21" i="5" s="1"/>
  <c r="K18" i="16" s="1"/>
  <c r="I20" i="5"/>
  <c r="I19" i="5" l="1"/>
  <c r="J20" i="5"/>
  <c r="K20" i="5" s="1"/>
  <c r="K17" i="16" s="1"/>
  <c r="J1" i="11"/>
  <c r="F6" i="16"/>
  <c r="J2" i="11"/>
  <c r="I9" i="3"/>
  <c r="J9" i="3" s="1"/>
  <c r="K9" i="3" s="1"/>
  <c r="J10" i="3"/>
  <c r="K10" i="3" s="1"/>
  <c r="J7" i="16" s="1"/>
  <c r="H6" i="16"/>
  <c r="J1" i="13"/>
  <c r="J3" i="13" s="1"/>
  <c r="J2" i="13"/>
  <c r="H2" i="16" l="1"/>
  <c r="H1" i="16"/>
  <c r="J6" i="16"/>
  <c r="J2" i="3"/>
  <c r="J1" i="3"/>
  <c r="J3" i="3" s="1"/>
  <c r="B6" i="16"/>
  <c r="F2" i="16"/>
  <c r="F1" i="16"/>
  <c r="J3" i="11"/>
  <c r="J19" i="5"/>
  <c r="K19" i="5" s="1"/>
  <c r="K16" i="16" s="1"/>
  <c r="I18" i="5"/>
  <c r="I17" i="5" l="1"/>
  <c r="J18" i="5"/>
  <c r="K18" i="5" s="1"/>
  <c r="K15" i="16" s="1"/>
  <c r="J1" i="16"/>
  <c r="J2" i="16"/>
  <c r="J17" i="5" l="1"/>
  <c r="K17" i="5" s="1"/>
  <c r="K14" i="16" s="1"/>
  <c r="I16" i="5"/>
  <c r="I15" i="5" l="1"/>
  <c r="J16" i="5"/>
  <c r="K16" i="5" s="1"/>
  <c r="K13" i="16" s="1"/>
  <c r="J15" i="5" l="1"/>
  <c r="K15" i="5" s="1"/>
  <c r="K12" i="16" s="1"/>
  <c r="I14" i="5"/>
  <c r="I13" i="5" l="1"/>
  <c r="J14" i="5"/>
  <c r="K14" i="5" s="1"/>
  <c r="K11" i="16" s="1"/>
  <c r="J13" i="5" l="1"/>
  <c r="K13" i="5" s="1"/>
  <c r="K10" i="16" s="1"/>
  <c r="I12" i="5"/>
  <c r="I11" i="5" l="1"/>
  <c r="J12" i="5"/>
  <c r="K12" i="5" s="1"/>
  <c r="K9" i="16" s="1"/>
  <c r="I10" i="5" l="1"/>
  <c r="J11" i="5"/>
  <c r="K11" i="5" s="1"/>
  <c r="K8" i="16" s="1"/>
  <c r="I9" i="5" l="1"/>
  <c r="J9" i="5" s="1"/>
  <c r="K9" i="5" s="1"/>
  <c r="J10" i="5"/>
  <c r="K10" i="5" s="1"/>
  <c r="K7" i="16" s="1"/>
  <c r="K6" i="16" l="1"/>
  <c r="J2" i="5"/>
  <c r="J1" i="5"/>
  <c r="J3" i="5" s="1"/>
  <c r="K2" i="16" l="1"/>
  <c r="L2" i="16" s="1"/>
  <c r="K1" i="16"/>
  <c r="L1" i="16" s="1"/>
  <c r="L3" i="16" s="1"/>
  <c r="P4" i="16" l="1"/>
  <c r="P3" i="16"/>
</calcChain>
</file>

<file path=xl/sharedStrings.xml><?xml version="1.0" encoding="utf-8"?>
<sst xmlns="http://schemas.openxmlformats.org/spreadsheetml/2006/main" count="197" uniqueCount="77">
  <si>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</si>
  <si>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</si>
  <si>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</si>
  <si>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</si>
  <si>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</si>
  <si>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</si>
  <si>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</si>
  <si>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</si>
  <si>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</si>
  <si>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</si>
  <si>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</si>
  <si>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</si>
  <si>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</si>
  <si>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</si>
  <si>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</si>
  <si>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</si>
  <si>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</si>
  <si>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</si>
  <si>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</si>
  <si>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</si>
  <si>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</si>
  <si>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</si>
  <si>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</si>
  <si>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</si>
  <si>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</si>
  <si>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</si>
  <si>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</si>
  <si>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</si>
  <si>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</si>
  <si>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</si>
  <si>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</si>
  <si>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</si>
  <si>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</si>
  <si>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</si>
  <si>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</si>
  <si>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</si>
  <si>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</si>
  <si>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</si>
  <si>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</si>
  <si>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</si>
  <si>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</si>
  <si>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</si>
  <si>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</si>
  <si>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</si>
  <si>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</si>
  <si>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</si>
  <si>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</si>
  <si>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</si>
  <si>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</si>
  <si>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</si>
  <si>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</si>
  <si>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</si>
  <si>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</si>
  <si>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</si>
  <si>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</si>
  <si>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</si>
  <si>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</si>
  <si>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</si>
  <si>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</si>
  <si>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</si>
  <si>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</si>
  <si>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</si>
  <si>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</si>
  <si>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</si>
  <si>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</si>
  <si>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</si>
  <si>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</si>
  <si>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</si>
  <si>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</si>
  <si>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</si>
  <si>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</si>
  <si>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</si>
  <si>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</si>
  <si>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</si>
  <si>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</si>
  <si>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</si>
  <si>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test38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</si>
</sst>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9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10" fillId="7" borderId="40" xfId="0" quotePrefix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center"/>
      <protection locked="0"/>
    </xf>
    <xf numFmtId="0" fontId="10" fillId="7" borderId="41" xfId="0" applyFont="1" applyFill="1" applyBorder="1" applyAlignment="1" applyProtection="1">
      <alignment horizontal="center"/>
      <protection locked="0"/>
    </xf>
    <xf numFmtId="14" fontId="10" fillId="7" borderId="43" xfId="0" applyNumberFormat="1" applyFont="1" applyFill="1" applyBorder="1" applyAlignment="1" applyProtection="1">
      <alignment horizontal="center"/>
      <protection locked="0"/>
    </xf>
    <xf numFmtId="0" fontId="10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8" fillId="0" borderId="0" xfId="0" applyFont="1" applyProtection="1"/>
    <xf numFmtId="0" fontId="9" fillId="0" borderId="32" xfId="0" applyFont="1" applyFill="1" applyBorder="1" applyAlignment="1" applyProtection="1">
      <alignment horizontal="right"/>
    </xf>
    <xf numFmtId="0" fontId="9" fillId="0" borderId="42" xfId="0" applyFont="1" applyBorder="1" applyAlignment="1" applyProtection="1">
      <alignment horizontal="right"/>
    </xf>
    <xf numFmtId="0" fontId="9" fillId="0" borderId="17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9" fillId="0" borderId="39" xfId="0" applyFont="1" applyBorder="1" applyAlignment="1" applyProtection="1">
      <alignment horizontal="right"/>
    </xf>
    <xf numFmtId="0" fontId="9" fillId="0" borderId="39" xfId="0" applyFont="1" applyFill="1" applyBorder="1" applyAlignment="1" applyProtection="1">
      <alignment horizontal="right"/>
    </xf>
    <xf numFmtId="0" fontId="9" fillId="0" borderId="42" xfId="0" applyFont="1" applyFill="1" applyBorder="1" applyAlignment="1" applyProtection="1">
      <alignment horizontal="right"/>
    </xf>
    <xf numFmtId="0" fontId="9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9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9" fillId="0" borderId="18" xfId="0" applyFont="1" applyBorder="1" applyAlignment="1" applyProtection="1">
      <alignment horizontal="right"/>
    </xf>
    <xf numFmtId="0" fontId="11" fillId="0" borderId="0" xfId="0" applyFont="1" applyProtection="1"/>
    <xf numFmtId="0" fontId="11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8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10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1" fillId="0" borderId="0" xfId="0" applyFont="1" applyAlignment="1" applyProtection="1">
      <alignment horizontal="center"/>
    </xf>
    <xf numFmtId="0" fontId="11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7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9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8" fillId="0" borderId="0" xfId="0" applyFont="1" applyBorder="1" applyProtection="1"/>
    <xf numFmtId="0" fontId="8" fillId="0" borderId="47" xfId="0" applyFont="1" applyBorder="1" applyProtection="1"/>
    <xf numFmtId="0" fontId="18" fillId="0" borderId="49" xfId="0" applyFont="1" applyFill="1" applyBorder="1" applyAlignment="1" applyProtection="1">
      <alignment horizontal="left"/>
    </xf>
    <xf numFmtId="0" fontId="8" fillId="0" borderId="50" xfId="0" applyFont="1" applyBorder="1" applyProtection="1"/>
    <xf numFmtId="0" fontId="8" fillId="0" borderId="51" xfId="0" applyFont="1" applyBorder="1" applyProtection="1"/>
    <xf numFmtId="0" fontId="8" fillId="0" borderId="52" xfId="0" applyFont="1" applyBorder="1" applyProtection="1"/>
    <xf numFmtId="0" fontId="18" fillId="0" borderId="53" xfId="0" applyFont="1" applyBorder="1" applyProtection="1"/>
    <xf numFmtId="0" fontId="8" fillId="0" borderId="54" xfId="0" applyFont="1" applyBorder="1" applyProtection="1"/>
    <xf numFmtId="0" fontId="18" fillId="0" borderId="55" xfId="0" applyFont="1" applyBorder="1" applyProtection="1"/>
    <xf numFmtId="0" fontId="8" fillId="0" borderId="56" xfId="0" applyFont="1" applyBorder="1" applyProtection="1"/>
    <xf numFmtId="0" fontId="8" fillId="0" borderId="57" xfId="0" applyFont="1" applyBorder="1" applyProtection="1"/>
    <xf numFmtId="0" fontId="8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9" fillId="0" borderId="59" xfId="0" applyFont="1" applyBorder="1" applyAlignment="1" applyProtection="1">
      <alignment horizontal="right"/>
    </xf>
    <xf numFmtId="0" fontId="10" fillId="7" borderId="60" xfId="0" applyFont="1" applyFill="1" applyBorder="1" applyAlignment="1" applyProtection="1">
      <alignment horizontal="center"/>
      <protection locked="0"/>
    </xf>
    <xf numFmtId="0" fontId="16" fillId="0" borderId="43" xfId="0" applyFont="1" applyBorder="1" applyAlignment="1" applyProtection="1">
      <alignment horizontal="center"/>
    </xf>
    <xf numFmtId="0" fontId="8" fillId="0" borderId="7" xfId="0" applyFont="1" applyBorder="1" applyProtection="1"/>
    <xf numFmtId="0" fontId="15" fillId="0" borderId="37" xfId="0" applyFont="1" applyBorder="1" applyAlignment="1" applyProtection="1">
      <alignment horizontal="center"/>
    </xf>
    <xf numFmtId="0" fontId="15" fillId="0" borderId="38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2" fillId="11" borderId="35" xfId="0" applyFont="1" applyFill="1" applyBorder="1" applyAlignment="1" applyProtection="1">
      <alignment horizontal="center" vertical="center"/>
    </xf>
    <xf numFmtId="0" fontId="12" fillId="11" borderId="36" xfId="0" applyFont="1" applyFill="1" applyBorder="1" applyAlignment="1" applyProtection="1">
      <alignment horizontal="center" vertical="center"/>
    </xf>
    <xf numFmtId="0" fontId="12" fillId="11" borderId="31" xfId="0" applyFont="1" applyFill="1" applyBorder="1" applyAlignment="1" applyProtection="1">
      <alignment horizontal="center" vertical="center"/>
    </xf>
    <xf numFmtId="0" fontId="12" fillId="11" borderId="33" xfId="0" applyFont="1" applyFill="1" applyBorder="1" applyAlignment="1" applyProtection="1">
      <alignment horizontal="center" vertical="center"/>
    </xf>
    <xf numFmtId="0" fontId="12" fillId="11" borderId="0" xfId="0" applyFont="1" applyFill="1" applyBorder="1" applyAlignment="1" applyProtection="1">
      <alignment horizontal="center" vertical="center"/>
    </xf>
    <xf numFmtId="0" fontId="12" fillId="11" borderId="34" xfId="0" applyFont="1" applyFill="1" applyBorder="1" applyAlignment="1" applyProtection="1">
      <alignment horizontal="center" vertical="center"/>
    </xf>
    <xf numFmtId="0" fontId="12" fillId="11" borderId="37" xfId="0" applyFont="1" applyFill="1" applyBorder="1" applyAlignment="1" applyProtection="1">
      <alignment horizontal="center" vertical="center"/>
    </xf>
    <xf numFmtId="0" fontId="12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9" fillId="0" borderId="37" xfId="0" applyFont="1" applyBorder="1" applyAlignment="1" applyProtection="1">
      <alignment horizontal="center"/>
    </xf>
    <xf numFmtId="0" fontId="9" fillId="0" borderId="26" xfId="0" applyFont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77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tabSelected="1" zoomScaleNormal="100" workbookViewId="0">
      <selection activeCell="F16" sqref="F16"/>
    </sheetView>
  </sheetViews>
  <sheetFormatPr defaultRowHeight="12.75" x14ac:dyDescent="0.2"/>
  <cols>
    <col min="1" max="1" width="0.7109375" style="67" customWidth="1"/>
    <col min="2" max="2" width="0.7109375" style="66" customWidth="1"/>
    <col min="3" max="3" width="15.140625" style="67" bestFit="1" customWidth="1"/>
    <col min="4" max="4" width="10.85546875" style="67" bestFit="1" customWidth="1"/>
    <col min="5" max="5" width="14.7109375" style="67" bestFit="1" customWidth="1"/>
    <col min="6" max="6" width="9.140625" style="67" bestFit="1" customWidth="1"/>
    <col min="7" max="7" width="0.7109375" style="67" customWidth="1"/>
    <col min="8" max="16384" width="9.140625" style="67"/>
  </cols>
  <sheetData>
    <row r="1" spans="3:8" x14ac:dyDescent="0.2">
      <c r="C1" s="170" t="s">
        <v>46</v>
      </c>
      <c r="D1" s="171"/>
      <c r="E1" s="171"/>
      <c r="F1" s="172"/>
      <c r="H1" s="68" t="s">
        <v>51</v>
      </c>
    </row>
    <row r="2" spans="3:8" ht="13.5" thickBot="1" x14ac:dyDescent="0.25">
      <c r="C2" s="173"/>
      <c r="D2" s="174"/>
      <c r="E2" s="174"/>
      <c r="F2" s="175"/>
    </row>
    <row r="3" spans="3:8" ht="15.75" thickBot="1" x14ac:dyDescent="0.3">
      <c r="C3" s="167" t="s">
        <v>52</v>
      </c>
      <c r="D3" s="168"/>
      <c r="E3" s="168"/>
      <c r="F3" s="169"/>
    </row>
    <row r="4" spans="3:8" ht="13.5" thickBot="1" x14ac:dyDescent="0.25">
      <c r="C4" s="69" t="s">
        <v>12</v>
      </c>
      <c r="D4" s="63"/>
      <c r="E4" s="70" t="s">
        <v>42</v>
      </c>
      <c r="F4" s="64">
        <f ca="1">TODAY()</f>
        <v>42750</v>
      </c>
    </row>
    <row r="5" spans="3:8" x14ac:dyDescent="0.2">
      <c r="C5" s="71" t="s">
        <v>19</v>
      </c>
      <c r="D5" s="59" t="s">
        <v>76</v>
      </c>
      <c r="E5" s="72" t="s">
        <v>41</v>
      </c>
      <c r="F5" s="38"/>
    </row>
    <row r="6" spans="3:8" ht="13.5" thickBot="1" x14ac:dyDescent="0.25">
      <c r="C6" s="73" t="s">
        <v>43</v>
      </c>
      <c r="D6" s="61"/>
      <c r="E6" s="74" t="s">
        <v>38</v>
      </c>
      <c r="F6" s="62"/>
    </row>
    <row r="7" spans="3:8" ht="15.75" thickBot="1" x14ac:dyDescent="0.3">
      <c r="C7" s="167" t="s">
        <v>53</v>
      </c>
      <c r="D7" s="168"/>
      <c r="E7" s="168"/>
      <c r="F7" s="169"/>
    </row>
    <row r="8" spans="3:8" x14ac:dyDescent="0.2">
      <c r="C8" s="70" t="s">
        <v>40</v>
      </c>
      <c r="D8" s="65"/>
      <c r="E8" s="75" t="s">
        <v>20</v>
      </c>
      <c r="F8" s="65">
        <v>72</v>
      </c>
    </row>
    <row r="9" spans="3:8" ht="13.5" thickBot="1" x14ac:dyDescent="0.25">
      <c r="C9" s="73" t="s">
        <v>13</v>
      </c>
      <c r="D9" s="61"/>
      <c r="E9" s="74" t="s">
        <v>50</v>
      </c>
      <c r="F9" s="62">
        <v>144</v>
      </c>
    </row>
    <row r="10" spans="3:8" ht="15.75" thickBot="1" x14ac:dyDescent="0.3">
      <c r="C10" s="167" t="s">
        <v>54</v>
      </c>
      <c r="D10" s="168"/>
      <c r="E10" s="168"/>
      <c r="F10" s="169"/>
    </row>
    <row r="11" spans="3:8" x14ac:dyDescent="0.2">
      <c r="C11" s="75" t="s">
        <v>28</v>
      </c>
      <c r="D11" s="65">
        <v>4</v>
      </c>
      <c r="E11" s="75" t="s">
        <v>16</v>
      </c>
      <c r="F11" s="65">
        <v>4</v>
      </c>
    </row>
    <row r="12" spans="3:8" x14ac:dyDescent="0.2">
      <c r="C12" s="76" t="s">
        <v>66</v>
      </c>
      <c r="D12" s="60">
        <f>INDEX(Figurings!C:C,Setup!$G$21)</f>
        <v>4</v>
      </c>
      <c r="E12" s="76" t="s">
        <v>17</v>
      </c>
      <c r="F12" s="77">
        <f>INT(((Setup!F8-Setup!D13*2)/Setup!F11)/2+0.5)*2</f>
        <v>16</v>
      </c>
    </row>
    <row r="13" spans="3:8" ht="13.5" thickBot="1" x14ac:dyDescent="0.25">
      <c r="C13" s="76" t="s">
        <v>67</v>
      </c>
      <c r="D13" s="60">
        <f>INDEX(Figurings!D:D,Setup!$G$21)</f>
        <v>4</v>
      </c>
      <c r="E13" s="76" t="s">
        <v>18</v>
      </c>
      <c r="F13" s="77">
        <f>INT(((Setup!F9-Setup!D12*2)/Setup!F11)/2+0.5)*2</f>
        <v>34</v>
      </c>
    </row>
    <row r="14" spans="3:8" ht="13.5" thickBot="1" x14ac:dyDescent="0.25">
      <c r="C14" s="74" t="s">
        <v>56</v>
      </c>
      <c r="D14" s="78">
        <f>ROUND(SQRT((F8-D13*2)^2+(F9-D12*2)^2),3)</f>
        <v>150.30600000000001</v>
      </c>
      <c r="E14" s="79" t="s">
        <v>55</v>
      </c>
      <c r="F14" s="80">
        <f>INT((D14/F11)/2+0.5)*2</f>
        <v>38</v>
      </c>
    </row>
    <row r="15" spans="3:8" ht="15.75" thickBot="1" x14ac:dyDescent="0.3">
      <c r="C15" s="167" t="s">
        <v>73</v>
      </c>
      <c r="D15" s="168"/>
      <c r="E15" s="168"/>
      <c r="F15" s="169"/>
    </row>
    <row r="16" spans="3:8" x14ac:dyDescent="0.2">
      <c r="C16" s="70" t="s">
        <v>22</v>
      </c>
      <c r="D16" s="65"/>
      <c r="E16" s="70" t="s">
        <v>21</v>
      </c>
      <c r="F16" s="65"/>
    </row>
    <row r="17" spans="3:7" ht="13.5" thickBot="1" x14ac:dyDescent="0.25">
      <c r="C17" s="81" t="s">
        <v>23</v>
      </c>
      <c r="D17" s="39"/>
      <c r="E17" s="76" t="s">
        <v>74</v>
      </c>
      <c r="F17" s="166" t="s">
        <v>75</v>
      </c>
    </row>
    <row r="19" spans="3:7" x14ac:dyDescent="0.2">
      <c r="C19" s="144" t="s">
        <v>65</v>
      </c>
      <c r="D19" s="145"/>
      <c r="E19" s="146"/>
      <c r="F19" s="147"/>
    </row>
    <row r="20" spans="3:7" x14ac:dyDescent="0.2">
      <c r="C20" s="148" t="s">
        <v>68</v>
      </c>
      <c r="D20" s="142"/>
      <c r="E20" s="143"/>
      <c r="F20" s="149"/>
    </row>
    <row r="21" spans="3:7" x14ac:dyDescent="0.2">
      <c r="C21" s="148" t="s">
        <v>69</v>
      </c>
      <c r="D21" s="142"/>
      <c r="E21" s="143"/>
      <c r="F21" s="149"/>
      <c r="G21" s="82">
        <f t="array" ref="G21">MATCH(F8&amp;F9,Figurings!A:A&amp;Figurings!B:B,0)</f>
        <v>38</v>
      </c>
    </row>
    <row r="22" spans="3:7" x14ac:dyDescent="0.2">
      <c r="C22" s="148" t="s">
        <v>70</v>
      </c>
      <c r="D22" s="142"/>
      <c r="E22" s="143"/>
      <c r="F22" s="149"/>
      <c r="G22" s="82"/>
    </row>
    <row r="23" spans="3:7" x14ac:dyDescent="0.2">
      <c r="C23" s="150" t="s">
        <v>71</v>
      </c>
      <c r="D23" s="151"/>
      <c r="E23" s="152"/>
      <c r="F23" s="153"/>
    </row>
    <row r="25" spans="3:7" x14ac:dyDescent="0.2">
      <c r="E25" s="66"/>
      <c r="F25" s="66"/>
    </row>
    <row r="26" spans="3:7" x14ac:dyDescent="0.2">
      <c r="E26" s="66"/>
      <c r="F26" s="66"/>
    </row>
    <row r="27" spans="3:7" x14ac:dyDescent="0.2">
      <c r="E27" s="66"/>
      <c r="F27" s="66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8"/>
  <sheetViews>
    <sheetView showGridLines="0" showRowColHeaders="0" topLeftCell="A7" zoomScaleNormal="100" workbookViewId="0">
      <selection activeCell="C108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7109375" style="67" customWidth="1"/>
    <col min="22" max="16384" width="9.140625" style="67" hidden="1"/>
  </cols>
  <sheetData>
    <row r="1" spans="1:18" x14ac:dyDescent="0.2">
      <c r="A1" s="83">
        <f>MAX(B:B)</f>
        <v>38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3610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57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18.5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162</v>
      </c>
      <c r="J9" s="114">
        <f t="shared" ref="J9:J72" si="0">IF(B9="","",I9+H9)</f>
        <v>162</v>
      </c>
      <c r="K9" s="115">
        <f t="shared" ref="K9:K72" si="1">IF(B9="","",ROUND(J9*$N$7,0))</f>
        <v>3240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1'!B10*2&lt;Setup!$F$14,'Line 1'!I11+'Line 1'!$N$5,'Line 1'!I9-'Line 1'!$N$5)))</f>
        <v>143.5</v>
      </c>
      <c r="J10" s="114">
        <f t="shared" si="0"/>
        <v>144.5</v>
      </c>
      <c r="K10" s="121">
        <f t="shared" si="1"/>
        <v>2890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1'!B11*2&lt;Setup!$F$14,'Line 1'!I12+'Line 1'!$N$5,'Line 1'!I10-'Line 1'!$N$5)))</f>
        <v>125</v>
      </c>
      <c r="J11" s="114">
        <f t="shared" si="0"/>
        <v>128</v>
      </c>
      <c r="K11" s="121">
        <f t="shared" si="1"/>
        <v>2560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1'!B12*2&lt;Setup!$F$14,'Line 1'!I13+'Line 1'!$N$5,'Line 1'!I11-'Line 1'!$N$5)))</f>
        <v>106.5</v>
      </c>
      <c r="J12" s="114">
        <f t="shared" si="0"/>
        <v>112.5</v>
      </c>
      <c r="K12" s="121">
        <f t="shared" si="1"/>
        <v>2250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1'!B13*2&lt;Setup!$F$14,'Line 1'!I14+'Line 1'!$N$5,'Line 1'!I12-'Line 1'!$N$5)))</f>
        <v>88</v>
      </c>
      <c r="J13" s="114">
        <f t="shared" si="0"/>
        <v>98</v>
      </c>
      <c r="K13" s="121">
        <f t="shared" si="1"/>
        <v>1960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1'!B14*2&lt;Setup!$F$14,'Line 1'!I15+'Line 1'!$N$5,'Line 1'!I13-'Line 1'!$N$5)))</f>
        <v>69.5</v>
      </c>
      <c r="J14" s="114">
        <f t="shared" si="0"/>
        <v>84.5</v>
      </c>
      <c r="K14" s="121">
        <f t="shared" si="1"/>
        <v>1690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1'!B15*2&lt;Setup!$F$14,'Line 1'!I16+'Line 1'!$N$5,'Line 1'!I14-'Line 1'!$N$5)))</f>
        <v>51</v>
      </c>
      <c r="J15" s="114">
        <f t="shared" si="0"/>
        <v>72</v>
      </c>
      <c r="K15" s="121">
        <f t="shared" si="1"/>
        <v>1440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1'!B16*2&lt;Setup!$F$14,'Line 1'!I17+'Line 1'!$N$5,'Line 1'!I15-'Line 1'!$N$5)))</f>
        <v>32.5</v>
      </c>
      <c r="J16" s="114">
        <f t="shared" si="0"/>
        <v>60.5</v>
      </c>
      <c r="K16" s="121">
        <f t="shared" si="1"/>
        <v>1210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1'!B17*2&lt;Setup!$F$14,'Line 1'!I18+'Line 1'!$N$5,'Line 1'!I16-'Line 1'!$N$5)))</f>
        <v>14</v>
      </c>
      <c r="J17" s="114">
        <f t="shared" si="0"/>
        <v>50</v>
      </c>
      <c r="K17" s="121">
        <f t="shared" si="1"/>
        <v>1000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1'!B18*2&lt;Setup!$F$14,'Line 1'!I19+'Line 1'!$N$5,'Line 1'!I17-'Line 1'!$N$5)))</f>
        <v>-4.5</v>
      </c>
      <c r="J18" s="114">
        <f t="shared" si="0"/>
        <v>40.5</v>
      </c>
      <c r="K18" s="121">
        <f t="shared" si="1"/>
        <v>810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1'!B19*2&lt;Setup!$F$14,'Line 1'!I20+'Line 1'!$N$5,'Line 1'!I18-'Line 1'!$N$5)))</f>
        <v>-23</v>
      </c>
      <c r="J19" s="114">
        <f t="shared" si="0"/>
        <v>32</v>
      </c>
      <c r="K19" s="121">
        <f t="shared" si="1"/>
        <v>640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1'!B20*2&lt;Setup!$F$14,'Line 1'!I21+'Line 1'!$N$5,'Line 1'!I19-'Line 1'!$N$5)))</f>
        <v>-41.5</v>
      </c>
      <c r="J20" s="114">
        <f t="shared" si="0"/>
        <v>24.5</v>
      </c>
      <c r="K20" s="121">
        <f t="shared" si="1"/>
        <v>490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1'!B21*2&lt;Setup!$F$14,'Line 1'!I22+'Line 1'!$N$5,'Line 1'!I20-'Line 1'!$N$5)))</f>
        <v>-60</v>
      </c>
      <c r="J21" s="114">
        <f t="shared" si="0"/>
        <v>18</v>
      </c>
      <c r="K21" s="121">
        <f t="shared" si="1"/>
        <v>360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1'!B22*2&lt;Setup!$F$14,'Line 1'!I23+'Line 1'!$N$5,'Line 1'!I21-'Line 1'!$N$5)))</f>
        <v>-78.5</v>
      </c>
      <c r="J22" s="114">
        <f t="shared" si="0"/>
        <v>12.5</v>
      </c>
      <c r="K22" s="121">
        <f t="shared" si="1"/>
        <v>250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1'!B23*2&lt;Setup!$F$14,'Line 1'!I24+'Line 1'!$N$5,'Line 1'!I22-'Line 1'!$N$5)))</f>
        <v>-97</v>
      </c>
      <c r="J23" s="114">
        <f t="shared" si="0"/>
        <v>8</v>
      </c>
      <c r="K23" s="121">
        <f t="shared" si="1"/>
        <v>160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1'!B24*2&lt;Setup!$F$14,'Line 1'!I25+'Line 1'!$N$5,'Line 1'!I23-'Line 1'!$N$5)))</f>
        <v>-115.5</v>
      </c>
      <c r="J24" s="114">
        <f t="shared" si="0"/>
        <v>4.5</v>
      </c>
      <c r="K24" s="121">
        <f t="shared" si="1"/>
        <v>90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1'!B25*2&lt;Setup!$F$14,'Line 1'!I26+'Line 1'!$N$5,'Line 1'!I24-'Line 1'!$N$5)))</f>
        <v>-134</v>
      </c>
      <c r="J25" s="114">
        <f t="shared" si="0"/>
        <v>2</v>
      </c>
      <c r="K25" s="121">
        <f t="shared" si="1"/>
        <v>40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1'!B26*2&lt;Setup!$F$14,'Line 1'!I27+'Line 1'!$N$5,'Line 1'!I25-'Line 1'!$N$5)))</f>
        <v>-152.5</v>
      </c>
      <c r="J26" s="114">
        <f t="shared" si="0"/>
        <v>0.5</v>
      </c>
      <c r="K26" s="121">
        <f t="shared" si="1"/>
        <v>10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1'!B27*2&lt;Setup!$F$14,'Line 1'!I28+'Line 1'!$N$5,'Line 1'!I26-'Line 1'!$N$5)))</f>
        <v>-171</v>
      </c>
      <c r="J27" s="114">
        <f t="shared" si="0"/>
        <v>0</v>
      </c>
      <c r="K27" s="121">
        <f t="shared" si="1"/>
        <v>0</v>
      </c>
      <c r="M27" s="123" t="str">
        <f>IF(B27="","",IF(B27*2=Setup!$F$14,"midstation row!",""))</f>
        <v>midstation row!</v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1'!B28*2&lt;Setup!$F$14,'Line 1'!I29+'Line 1'!$N$5,'Line 1'!I27-'Line 1'!$N$5)))</f>
        <v>-189.5</v>
      </c>
      <c r="J28" s="114">
        <f t="shared" si="0"/>
        <v>0.5</v>
      </c>
      <c r="K28" s="121">
        <f t="shared" si="1"/>
        <v>10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1'!B29*2&lt;Setup!$F$14,'Line 1'!I30+'Line 1'!$N$5,'Line 1'!I28-'Line 1'!$N$5)))</f>
        <v>-208</v>
      </c>
      <c r="J29" s="114">
        <f t="shared" si="0"/>
        <v>2</v>
      </c>
      <c r="K29" s="115">
        <f t="shared" si="1"/>
        <v>40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1'!B30*2&lt;Setup!$F$14,'Line 1'!I31+'Line 1'!$N$5,'Line 1'!I29-'Line 1'!$N$5)))</f>
        <v>-226.5</v>
      </c>
      <c r="J30" s="114">
        <f t="shared" si="0"/>
        <v>4.5</v>
      </c>
      <c r="K30" s="115">
        <f t="shared" si="1"/>
        <v>90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1'!B31*2&lt;Setup!$F$14,'Line 1'!I32+'Line 1'!$N$5,'Line 1'!I30-'Line 1'!$N$5)))</f>
        <v>-245</v>
      </c>
      <c r="J31" s="114">
        <f t="shared" si="0"/>
        <v>8</v>
      </c>
      <c r="K31" s="115">
        <f t="shared" si="1"/>
        <v>160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1'!B32*2&lt;Setup!$F$14,'Line 1'!I33+'Line 1'!$N$5,'Line 1'!I31-'Line 1'!$N$5)))</f>
        <v>-263.5</v>
      </c>
      <c r="J32" s="114">
        <f t="shared" si="0"/>
        <v>12.5</v>
      </c>
      <c r="K32" s="121">
        <f t="shared" si="1"/>
        <v>250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1'!B33*2&lt;Setup!$F$14,'Line 1'!I34+'Line 1'!$N$5,'Line 1'!I32-'Line 1'!$N$5)))</f>
        <v>-282</v>
      </c>
      <c r="J33" s="114">
        <f t="shared" si="0"/>
        <v>18</v>
      </c>
      <c r="K33" s="121">
        <f t="shared" si="1"/>
        <v>360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1'!B34*2&lt;Setup!$F$14,'Line 1'!I35+'Line 1'!$N$5,'Line 1'!I33-'Line 1'!$N$5)))</f>
        <v>-300.5</v>
      </c>
      <c r="J34" s="114">
        <f t="shared" si="0"/>
        <v>24.5</v>
      </c>
      <c r="K34" s="121">
        <f t="shared" si="1"/>
        <v>490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1'!B35*2&lt;Setup!$F$14,'Line 1'!I36+'Line 1'!$N$5,'Line 1'!I34-'Line 1'!$N$5)))</f>
        <v>-319</v>
      </c>
      <c r="J35" s="114">
        <f t="shared" si="0"/>
        <v>32</v>
      </c>
      <c r="K35" s="121">
        <f t="shared" si="1"/>
        <v>640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1'!B36*2&lt;Setup!$F$14,'Line 1'!I37+'Line 1'!$N$5,'Line 1'!I35-'Line 1'!$N$5)))</f>
        <v>-337.5</v>
      </c>
      <c r="J36" s="114">
        <f t="shared" si="0"/>
        <v>40.5</v>
      </c>
      <c r="K36" s="121">
        <f t="shared" si="1"/>
        <v>810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1'!B37*2&lt;Setup!$F$14,'Line 1'!I38+'Line 1'!$N$5,'Line 1'!I36-'Line 1'!$N$5)))</f>
        <v>-356</v>
      </c>
      <c r="J37" s="114">
        <f t="shared" si="0"/>
        <v>50</v>
      </c>
      <c r="K37" s="121">
        <f t="shared" si="1"/>
        <v>1000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1'!B38*2&lt;Setup!$F$14,'Line 1'!I39+'Line 1'!$N$5,'Line 1'!I37-'Line 1'!$N$5)))</f>
        <v>-374.5</v>
      </c>
      <c r="J38" s="114">
        <f t="shared" si="0"/>
        <v>60.5</v>
      </c>
      <c r="K38" s="121">
        <f t="shared" si="1"/>
        <v>1210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1'!B39*2&lt;Setup!$F$14,'Line 1'!I40+'Line 1'!$N$5,'Line 1'!I38-'Line 1'!$N$5)))</f>
        <v>-393</v>
      </c>
      <c r="J39" s="114">
        <f t="shared" si="0"/>
        <v>72</v>
      </c>
      <c r="K39" s="121">
        <f t="shared" si="1"/>
        <v>1440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1'!B40*2&lt;Setup!$F$14,'Line 1'!I41+'Line 1'!$N$5,'Line 1'!I39-'Line 1'!$N$5)))</f>
        <v>-411.5</v>
      </c>
      <c r="J40" s="114">
        <f t="shared" si="0"/>
        <v>84.5</v>
      </c>
      <c r="K40" s="121">
        <f t="shared" si="1"/>
        <v>1690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1'!B41*2&lt;Setup!$F$14,'Line 1'!I42+'Line 1'!$N$5,'Line 1'!I40-'Line 1'!$N$5)))</f>
        <v>-430</v>
      </c>
      <c r="J41" s="114">
        <f t="shared" si="0"/>
        <v>98</v>
      </c>
      <c r="K41" s="121">
        <f t="shared" si="1"/>
        <v>1960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1'!B42*2&lt;Setup!$F$14,'Line 1'!I43+'Line 1'!$N$5,'Line 1'!I41-'Line 1'!$N$5)))</f>
        <v>-448.5</v>
      </c>
      <c r="J42" s="114">
        <f t="shared" si="0"/>
        <v>112.5</v>
      </c>
      <c r="K42" s="121">
        <f t="shared" si="1"/>
        <v>2250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1'!B43*2&lt;Setup!$F$14,'Line 1'!I44+'Line 1'!$N$5,'Line 1'!I42-'Line 1'!$N$5)))</f>
        <v>-467</v>
      </c>
      <c r="J43" s="114">
        <f t="shared" si="0"/>
        <v>128</v>
      </c>
      <c r="K43" s="121">
        <f t="shared" si="1"/>
        <v>2560</v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1'!B44*2&lt;Setup!$F$14,'Line 1'!I45+'Line 1'!$N$5,'Line 1'!I43-'Line 1'!$N$5)))</f>
        <v>-485.5</v>
      </c>
      <c r="J44" s="114">
        <f t="shared" si="0"/>
        <v>144.5</v>
      </c>
      <c r="K44" s="121">
        <f t="shared" si="1"/>
        <v>2890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1'!B45*2&lt;Setup!$F$14,'Line 1'!I46+'Line 1'!$N$5,'Line 1'!I44-'Line 1'!$N$5)))</f>
        <v>-504</v>
      </c>
      <c r="J45" s="114">
        <f t="shared" si="0"/>
        <v>162</v>
      </c>
      <c r="K45" s="121">
        <f t="shared" si="1"/>
        <v>3240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1'!B46*2&lt;Setup!$F$14,'Line 1'!I47+'Line 1'!$N$5,'Line 1'!I45-'Line 1'!$N$5)))</f>
        <v>-522.5</v>
      </c>
      <c r="J46" s="114">
        <f t="shared" si="0"/>
        <v>180.5</v>
      </c>
      <c r="K46" s="121">
        <f t="shared" si="1"/>
        <v>3610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1'!B47*2&lt;Setup!$F$14,'Line 1'!I48+'Line 1'!$N$5,'Line 1'!I46-'Line 1'!$N$5)))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1'!B48*2&lt;Setup!$F$14,'Line 1'!I49+'Line 1'!$N$5,'Line 1'!I47-'Line 1'!$N$5)))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1'!B49*2&lt;Setup!$F$14,'Line 1'!I50+'Line 1'!$N$5,'Line 1'!I48-'Line 1'!$N$5)))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1'!B50*2&lt;Setup!$F$14,'Line 1'!I51+'Line 1'!$N$5,'Line 1'!I49-'Line 1'!$N$5)))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1'!B51*2&lt;Setup!$F$14,'Line 1'!I52+'Line 1'!$N$5,'Line 1'!I50-'Line 1'!$N$5)))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1'!B52*2&lt;Setup!$F$14,'Line 1'!I53+'Line 1'!$N$5,'Line 1'!I51-'Line 1'!$N$5)))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1'!B53*2&lt;Setup!$F$14,'Line 1'!I54+'Line 1'!$N$5,'Line 1'!I52-'Line 1'!$N$5)))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1'!B54*2&lt;Setup!$F$14,'Line 1'!I55+'Line 1'!$N$5,'Line 1'!I53-'Line 1'!$N$5)))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1'!B55*2&lt;Setup!$F$14,'Line 1'!I56+'Line 1'!$N$5,'Line 1'!I54-'Line 1'!$N$5)))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1'!B56*2&lt;Setup!$F$14,'Line 1'!I57+'Line 1'!$N$5,'Line 1'!I55-'Line 1'!$N$5)))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1'!B57*2&lt;Setup!$F$14,'Line 1'!I58+'Line 1'!$N$5,'Line 1'!I56-'Line 1'!$N$5)))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1'!B58*2&lt;Setup!$F$14,'Line 1'!I59+'Line 1'!$N$5,'Line 1'!I57-'Line 1'!$N$5)))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1'!B59*2&lt;Setup!$F$14,'Line 1'!I60+'Line 1'!$N$5,'Line 1'!I58-'Line 1'!$N$5)))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1'!B60*2&lt;Setup!$F$14,'Line 1'!I61+'Line 1'!$N$5,'Line 1'!I59-'Line 1'!$N$5)))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1'!B61*2&lt;Setup!$F$14,'Line 1'!I62+'Line 1'!$N$5,'Line 1'!I60-'Line 1'!$N$5)))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1'!B62*2&lt;Setup!$F$14,'Line 1'!I63+'Line 1'!$N$5,'Line 1'!I61-'Line 1'!$N$5)))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1'!B63*2&lt;Setup!$F$14,'Line 1'!I64+'Line 1'!$N$5,'Line 1'!I62-'Line 1'!$N$5)))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1'!B64*2&lt;Setup!$F$14,'Line 1'!I65+'Line 1'!$N$5,'Line 1'!I63-'Line 1'!$N$5)))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1'!B65*2&lt;Setup!$F$14,'Line 1'!I66+'Line 1'!$N$5,'Line 1'!I64-'Line 1'!$N$5)))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1'!B66*2&lt;Setup!$F$14,'Line 1'!I67+'Line 1'!$N$5,'Line 1'!I65-'Line 1'!$N$5)))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1'!B67*2&lt;Setup!$F$14,'Line 1'!I68+'Line 1'!$N$5,'Line 1'!I66-'Line 1'!$N$5)))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1'!B68*2&lt;Setup!$F$14,'Line 1'!I69+'Line 1'!$N$5,'Line 1'!I67-'Line 1'!$N$5)))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1'!B69*2&lt;Setup!$F$14,'Line 1'!I70+'Line 1'!$N$5,'Line 1'!I68-'Line 1'!$N$5)))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1'!B70*2&lt;Setup!$F$14,'Line 1'!I71+'Line 1'!$N$5,'Line 1'!I69-'Line 1'!$N$5)))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1'!B71*2&lt;Setup!$F$14,'Line 1'!I72+'Line 1'!$N$5,'Line 1'!I70-'Line 1'!$N$5)))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1'!B72*2&lt;Setup!$F$14,'Line 1'!I73+'Line 1'!$N$5,'Line 1'!I71-'Line 1'!$N$5)))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1'!B73*2&lt;Setup!$F$14,'Line 1'!I74+'Line 1'!$N$5,'Line 1'!I72-'Line 1'!$N$5)))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66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1'!B74*2&lt;Setup!$F$14,'Line 1'!I75+'Line 1'!$N$5,'Line 1'!I73-'Line 1'!$N$5)))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C74+$C$9</f>
        <v>67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1'!B75*2&lt;Setup!$F$14,'Line 1'!I76+'Line 1'!$N$5,'Line 1'!I74-'Line 1'!$N$5)))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68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1'!B76*2&lt;Setup!$F$14,'Line 1'!I77+'Line 1'!$N$5,'Line 1'!I75-'Line 1'!$N$5)))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69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1'!B77*2&lt;Setup!$F$14,'Line 1'!I78+'Line 1'!$N$5,'Line 1'!I76-'Line 1'!$N$5)))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70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1'!B78*2&lt;Setup!$F$14,'Line 1'!I79+'Line 1'!$N$5,'Line 1'!I77-'Line 1'!$N$5)))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1'!B79*2&lt;Setup!$F$14,'Line 1'!I80+'Line 1'!$N$5,'Line 1'!I78-'Line 1'!$N$5)))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1'!B80*2&lt;Setup!$F$14,'Line 1'!I81+'Line 1'!$N$5,'Line 1'!I79-'Line 1'!$N$5)))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1'!B81*2&lt;Setup!$F$14,'Line 1'!I82+'Line 1'!$N$5,'Line 1'!I80-'Line 1'!$N$5)))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1'!B82*2&lt;Setup!$F$14,'Line 1'!I83+'Line 1'!$N$5,'Line 1'!I81-'Line 1'!$N$5)))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1'!B83*2&lt;Setup!$F$14,'Line 1'!I84+'Line 1'!$N$5,'Line 1'!I82-'Line 1'!$N$5)))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1'!B84*2&lt;Setup!$F$14,'Line 1'!I85+'Line 1'!$N$5,'Line 1'!I83-'Line 1'!$N$5)))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1'!B85*2&lt;Setup!$F$14,'Line 1'!I86+'Line 1'!$N$5,'Line 1'!I84-'Line 1'!$N$5)))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1'!B86*2&lt;Setup!$F$14,'Line 1'!I87+'Line 1'!$N$5,'Line 1'!I85-'Line 1'!$N$5)))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1'!B87*2&lt;Setup!$F$14,'Line 1'!I88+'Line 1'!$N$5,'Line 1'!I86-'Line 1'!$N$5)))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1'!B88*2&lt;Setup!$F$14,'Line 1'!I89+'Line 1'!$N$5,'Line 1'!I87-'Line 1'!$N$5)))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1'!B89*2&lt;Setup!$F$14,'Line 1'!I90+'Line 1'!$N$5,'Line 1'!I88-'Line 1'!$N$5)))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1'!B90*2&lt;Setup!$F$14,'Line 1'!I91+'Line 1'!$N$5,'Line 1'!I89-'Line 1'!$N$5)))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1'!B91*2&lt;Setup!$F$14,'Line 1'!I92+'Line 1'!$N$5,'Line 1'!I90-'Line 1'!$N$5)))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1'!B92*2&lt;Setup!$F$14,'Line 1'!I93+'Line 1'!$N$5,'Line 1'!I91-'Line 1'!$N$5)))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1'!B93*2&lt;Setup!$F$14,'Line 1'!I94+'Line 1'!$N$5,'Line 1'!I92-'Line 1'!$N$5)))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1'!B94*2&lt;Setup!$F$14,'Line 1'!I95+'Line 1'!$N$5,'Line 1'!I93-'Line 1'!$N$5)))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1'!B95*2&lt;Setup!$F$14,'Line 1'!I96+'Line 1'!$N$5,'Line 1'!I94-'Line 1'!$N$5)))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1'!B96*2&lt;Setup!$F$14,'Line 1'!I97+'Line 1'!$N$5,'Line 1'!I95-'Line 1'!$N$5)))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1'!B97*2&lt;Setup!$F$14,'Line 1'!I98+'Line 1'!$N$5,'Line 1'!I96-'Line 1'!$N$5)))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1'!B98*2&lt;Setup!$F$14,'Line 1'!I99+'Line 1'!$N$5,'Line 1'!I97-'Line 1'!$N$5)))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1'!B99*2&lt;Setup!$F$14,'Line 1'!I100+'Line 1'!$N$5,'Line 1'!I98-'Line 1'!$N$5)))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1'!B100*2&lt;Setup!$F$14,'Line 1'!I101+'Line 1'!$N$5,'Line 1'!I99-'Line 1'!$N$5)))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1'!B101*2&lt;Setup!$F$14,'Line 1'!I102+'Line 1'!$N$5,'Line 1'!I100-'Line 1'!$N$5)))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1'!B102*2&lt;Setup!$F$14,'Line 1'!I103+'Line 1'!$N$5,'Line 1'!I101-'Line 1'!$N$5)))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1'!B103*2&lt;Setup!$F$14,'Line 1'!I104+'Line 1'!$N$5,'Line 1'!I102-'Line 1'!$N$5)))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1'!B104*2&lt;Setup!$F$14,'Line 1'!I105+'Line 1'!$N$5,'Line 1'!I103-'Line 1'!$N$5)))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1'!B105*2&lt;Setup!$F$14,'Line 1'!I106+'Line 1'!$N$5,'Line 1'!I104-'Line 1'!$N$5)))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1'!B106*2&lt;Setup!$F$14,'Line 1'!I107+'Line 1'!$N$5,'Line 1'!I105-'Line 1'!$N$5)))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1'!B107*2&lt;Setup!$F$14,'Line 1'!I108+'Line 1'!$N$5,'Line 1'!I106-'Line 1'!$N$5)))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1'!B108*2&lt;Setup!$F$14,'Line 1'!I109+'Line 1'!$N$5,'Line 1'!I107-'Line 1'!$N$5)))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8" x14ac:dyDescent="0.2">
      <c r="A1" s="83">
        <f>MAX(B:B)</f>
        <v>38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3610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58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18.5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162</v>
      </c>
      <c r="J9" s="114">
        <f t="shared" ref="J9:J72" si="0">IF(B9="","",I9+H9)</f>
        <v>162</v>
      </c>
      <c r="K9" s="115">
        <f t="shared" ref="K9:K72" si="1">IF(B9="","",ROUND(J9*$N$7,0))</f>
        <v>3240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2'!B10*2&lt;Setup!$F$14,'Line 2'!I11+'Line 2'!$N$5,'Line 2'!I9-'Line 2'!$N$5)))</f>
        <v>143.5</v>
      </c>
      <c r="J10" s="114">
        <f t="shared" si="0"/>
        <v>144.5</v>
      </c>
      <c r="K10" s="121">
        <f t="shared" si="1"/>
        <v>2890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2'!B11*2&lt;Setup!$F$14,'Line 2'!I12+'Line 2'!$N$5,'Line 2'!I10-'Line 2'!$N$5)))</f>
        <v>125</v>
      </c>
      <c r="J11" s="114">
        <f t="shared" si="0"/>
        <v>128</v>
      </c>
      <c r="K11" s="121">
        <f t="shared" si="1"/>
        <v>2560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2'!B12*2&lt;Setup!$F$14,'Line 2'!I13+'Line 2'!$N$5,'Line 2'!I11-'Line 2'!$N$5)))</f>
        <v>106.5</v>
      </c>
      <c r="J12" s="114">
        <f t="shared" si="0"/>
        <v>112.5</v>
      </c>
      <c r="K12" s="121">
        <f t="shared" si="1"/>
        <v>2250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2'!B13*2&lt;Setup!$F$14,'Line 2'!I14+'Line 2'!$N$5,'Line 2'!I12-'Line 2'!$N$5)))</f>
        <v>88</v>
      </c>
      <c r="J13" s="114">
        <f t="shared" si="0"/>
        <v>98</v>
      </c>
      <c r="K13" s="121">
        <f t="shared" si="1"/>
        <v>1960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2'!B14*2&lt;Setup!$F$14,'Line 2'!I15+'Line 2'!$N$5,'Line 2'!I13-'Line 2'!$N$5)))</f>
        <v>69.5</v>
      </c>
      <c r="J14" s="114">
        <f t="shared" si="0"/>
        <v>84.5</v>
      </c>
      <c r="K14" s="121">
        <f t="shared" si="1"/>
        <v>1690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2'!B15*2&lt;Setup!$F$14,'Line 2'!I16+'Line 2'!$N$5,'Line 2'!I14-'Line 2'!$N$5)))</f>
        <v>51</v>
      </c>
      <c r="J15" s="114">
        <f t="shared" si="0"/>
        <v>72</v>
      </c>
      <c r="K15" s="121">
        <f t="shared" si="1"/>
        <v>1440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2'!B16*2&lt;Setup!$F$14,'Line 2'!I17+'Line 2'!$N$5,'Line 2'!I15-'Line 2'!$N$5)))</f>
        <v>32.5</v>
      </c>
      <c r="J16" s="114">
        <f t="shared" si="0"/>
        <v>60.5</v>
      </c>
      <c r="K16" s="121">
        <f t="shared" si="1"/>
        <v>1210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2'!B17*2&lt;Setup!$F$14,'Line 2'!I18+'Line 2'!$N$5,'Line 2'!I16-'Line 2'!$N$5)))</f>
        <v>14</v>
      </c>
      <c r="J17" s="114">
        <f t="shared" si="0"/>
        <v>50</v>
      </c>
      <c r="K17" s="121">
        <f t="shared" si="1"/>
        <v>1000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2'!B18*2&lt;Setup!$F$14,'Line 2'!I19+'Line 2'!$N$5,'Line 2'!I17-'Line 2'!$N$5)))</f>
        <v>-4.5</v>
      </c>
      <c r="J18" s="114">
        <f t="shared" si="0"/>
        <v>40.5</v>
      </c>
      <c r="K18" s="121">
        <f t="shared" si="1"/>
        <v>810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2'!B19*2&lt;Setup!$F$14,'Line 2'!I20+'Line 2'!$N$5,'Line 2'!I18-'Line 2'!$N$5)))</f>
        <v>-23</v>
      </c>
      <c r="J19" s="114">
        <f t="shared" si="0"/>
        <v>32</v>
      </c>
      <c r="K19" s="121">
        <f t="shared" si="1"/>
        <v>640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2'!B20*2&lt;Setup!$F$14,'Line 2'!I21+'Line 2'!$N$5,'Line 2'!I19-'Line 2'!$N$5)))</f>
        <v>-41.5</v>
      </c>
      <c r="J20" s="114">
        <f t="shared" si="0"/>
        <v>24.5</v>
      </c>
      <c r="K20" s="121">
        <f t="shared" si="1"/>
        <v>490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2'!B21*2&lt;Setup!$F$14,'Line 2'!I22+'Line 2'!$N$5,'Line 2'!I20-'Line 2'!$N$5)))</f>
        <v>-60</v>
      </c>
      <c r="J21" s="114">
        <f t="shared" si="0"/>
        <v>18</v>
      </c>
      <c r="K21" s="121">
        <f t="shared" si="1"/>
        <v>360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2'!B22*2&lt;Setup!$F$14,'Line 2'!I23+'Line 2'!$N$5,'Line 2'!I21-'Line 2'!$N$5)))</f>
        <v>-78.5</v>
      </c>
      <c r="J22" s="114">
        <f t="shared" si="0"/>
        <v>12.5</v>
      </c>
      <c r="K22" s="121">
        <f t="shared" si="1"/>
        <v>250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2'!B23*2&lt;Setup!$F$14,'Line 2'!I24+'Line 2'!$N$5,'Line 2'!I22-'Line 2'!$N$5)))</f>
        <v>-97</v>
      </c>
      <c r="J23" s="114">
        <f t="shared" si="0"/>
        <v>8</v>
      </c>
      <c r="K23" s="121">
        <f t="shared" si="1"/>
        <v>160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2'!B24*2&lt;Setup!$F$14,'Line 2'!I25+'Line 2'!$N$5,'Line 2'!I23-'Line 2'!$N$5)))</f>
        <v>-115.5</v>
      </c>
      <c r="J24" s="114">
        <f t="shared" si="0"/>
        <v>4.5</v>
      </c>
      <c r="K24" s="121">
        <f t="shared" si="1"/>
        <v>90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2'!B25*2&lt;Setup!$F$14,'Line 2'!I26+'Line 2'!$N$5,'Line 2'!I24-'Line 2'!$N$5)))</f>
        <v>-134</v>
      </c>
      <c r="J25" s="114">
        <f t="shared" si="0"/>
        <v>2</v>
      </c>
      <c r="K25" s="121">
        <f t="shared" si="1"/>
        <v>40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2'!B26*2&lt;Setup!$F$14,'Line 2'!I27+'Line 2'!$N$5,'Line 2'!I25-'Line 2'!$N$5)))</f>
        <v>-152.5</v>
      </c>
      <c r="J26" s="114">
        <f t="shared" si="0"/>
        <v>0.5</v>
      </c>
      <c r="K26" s="121">
        <f t="shared" si="1"/>
        <v>10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2'!B27*2&lt;Setup!$F$14,'Line 2'!I28+'Line 2'!$N$5,'Line 2'!I26-'Line 2'!$N$5)))</f>
        <v>-171</v>
      </c>
      <c r="J27" s="114">
        <f t="shared" si="0"/>
        <v>0</v>
      </c>
      <c r="K27" s="121">
        <f t="shared" si="1"/>
        <v>0</v>
      </c>
      <c r="M27" s="123" t="str">
        <f>IF(B27="","",IF(B27*2=Setup!$F$14,"midstation row!",""))</f>
        <v>midstation row!</v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2'!B28*2&lt;Setup!$F$14,'Line 2'!I29+'Line 2'!$N$5,'Line 2'!I27-'Line 2'!$N$5)))</f>
        <v>-189.5</v>
      </c>
      <c r="J28" s="114">
        <f t="shared" si="0"/>
        <v>0.5</v>
      </c>
      <c r="K28" s="121">
        <f t="shared" si="1"/>
        <v>10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2'!B29*2&lt;Setup!$F$14,'Line 2'!I30+'Line 2'!$N$5,'Line 2'!I28-'Line 2'!$N$5)))</f>
        <v>-208</v>
      </c>
      <c r="J29" s="114">
        <f t="shared" si="0"/>
        <v>2</v>
      </c>
      <c r="K29" s="115">
        <f t="shared" si="1"/>
        <v>40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2'!B30*2&lt;Setup!$F$14,'Line 2'!I31+'Line 2'!$N$5,'Line 2'!I29-'Line 2'!$N$5)))</f>
        <v>-226.5</v>
      </c>
      <c r="J30" s="114">
        <f t="shared" si="0"/>
        <v>4.5</v>
      </c>
      <c r="K30" s="115">
        <f t="shared" si="1"/>
        <v>90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2'!B31*2&lt;Setup!$F$14,'Line 2'!I32+'Line 2'!$N$5,'Line 2'!I30-'Line 2'!$N$5)))</f>
        <v>-245</v>
      </c>
      <c r="J31" s="114">
        <f t="shared" si="0"/>
        <v>8</v>
      </c>
      <c r="K31" s="115">
        <f t="shared" si="1"/>
        <v>160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2'!B32*2&lt;Setup!$F$14,'Line 2'!I33+'Line 2'!$N$5,'Line 2'!I31-'Line 2'!$N$5)))</f>
        <v>-263.5</v>
      </c>
      <c r="J32" s="114">
        <f t="shared" si="0"/>
        <v>12.5</v>
      </c>
      <c r="K32" s="121">
        <f t="shared" si="1"/>
        <v>250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2'!B33*2&lt;Setup!$F$14,'Line 2'!I34+'Line 2'!$N$5,'Line 2'!I32-'Line 2'!$N$5)))</f>
        <v>-282</v>
      </c>
      <c r="J33" s="114">
        <f t="shared" si="0"/>
        <v>18</v>
      </c>
      <c r="K33" s="121">
        <f t="shared" si="1"/>
        <v>360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2'!B34*2&lt;Setup!$F$14,'Line 2'!I35+'Line 2'!$N$5,'Line 2'!I33-'Line 2'!$N$5)))</f>
        <v>-300.5</v>
      </c>
      <c r="J34" s="114">
        <f t="shared" si="0"/>
        <v>24.5</v>
      </c>
      <c r="K34" s="121">
        <f t="shared" si="1"/>
        <v>490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2'!B35*2&lt;Setup!$F$14,'Line 2'!I36+'Line 2'!$N$5,'Line 2'!I34-'Line 2'!$N$5)))</f>
        <v>-319</v>
      </c>
      <c r="J35" s="114">
        <f t="shared" si="0"/>
        <v>32</v>
      </c>
      <c r="K35" s="121">
        <f t="shared" si="1"/>
        <v>640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2'!B36*2&lt;Setup!$F$14,'Line 2'!I37+'Line 2'!$N$5,'Line 2'!I35-'Line 2'!$N$5)))</f>
        <v>-337.5</v>
      </c>
      <c r="J36" s="114">
        <f t="shared" si="0"/>
        <v>40.5</v>
      </c>
      <c r="K36" s="121">
        <f t="shared" si="1"/>
        <v>810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2'!B37*2&lt;Setup!$F$14,'Line 2'!I38+'Line 2'!$N$5,'Line 2'!I36-'Line 2'!$N$5)))</f>
        <v>-356</v>
      </c>
      <c r="J37" s="114">
        <f t="shared" si="0"/>
        <v>50</v>
      </c>
      <c r="K37" s="121">
        <f t="shared" si="1"/>
        <v>1000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2'!B38*2&lt;Setup!$F$14,'Line 2'!I39+'Line 2'!$N$5,'Line 2'!I37-'Line 2'!$N$5)))</f>
        <v>-374.5</v>
      </c>
      <c r="J38" s="114">
        <f t="shared" si="0"/>
        <v>60.5</v>
      </c>
      <c r="K38" s="121">
        <f t="shared" si="1"/>
        <v>1210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2'!B39*2&lt;Setup!$F$14,'Line 2'!I40+'Line 2'!$N$5,'Line 2'!I38-'Line 2'!$N$5)))</f>
        <v>-393</v>
      </c>
      <c r="J39" s="114">
        <f t="shared" si="0"/>
        <v>72</v>
      </c>
      <c r="K39" s="121">
        <f t="shared" si="1"/>
        <v>1440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2'!B40*2&lt;Setup!$F$14,'Line 2'!I41+'Line 2'!$N$5,'Line 2'!I39-'Line 2'!$N$5)))</f>
        <v>-411.5</v>
      </c>
      <c r="J40" s="114">
        <f t="shared" si="0"/>
        <v>84.5</v>
      </c>
      <c r="K40" s="121">
        <f t="shared" si="1"/>
        <v>1690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2'!B41*2&lt;Setup!$F$14,'Line 2'!I42+'Line 2'!$N$5,'Line 2'!I40-'Line 2'!$N$5)))</f>
        <v>-430</v>
      </c>
      <c r="J41" s="114">
        <f t="shared" si="0"/>
        <v>98</v>
      </c>
      <c r="K41" s="121">
        <f t="shared" si="1"/>
        <v>1960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2'!B42*2&lt;Setup!$F$14,'Line 2'!I43+'Line 2'!$N$5,'Line 2'!I41-'Line 2'!$N$5)))</f>
        <v>-448.5</v>
      </c>
      <c r="J42" s="114">
        <f t="shared" si="0"/>
        <v>112.5</v>
      </c>
      <c r="K42" s="121">
        <f t="shared" si="1"/>
        <v>2250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2'!B43*2&lt;Setup!$F$14,'Line 2'!I44+'Line 2'!$N$5,'Line 2'!I42-'Line 2'!$N$5)))</f>
        <v>-467</v>
      </c>
      <c r="J43" s="114">
        <f t="shared" si="0"/>
        <v>128</v>
      </c>
      <c r="K43" s="121">
        <f t="shared" si="1"/>
        <v>2560</v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2'!B44*2&lt;Setup!$F$14,'Line 2'!I45+'Line 2'!$N$5,'Line 2'!I43-'Line 2'!$N$5)))</f>
        <v>-485.5</v>
      </c>
      <c r="J44" s="114">
        <f t="shared" si="0"/>
        <v>144.5</v>
      </c>
      <c r="K44" s="121">
        <f t="shared" si="1"/>
        <v>2890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2'!B45*2&lt;Setup!$F$14,'Line 2'!I46+'Line 2'!$N$5,'Line 2'!I44-'Line 2'!$N$5)))</f>
        <v>-504</v>
      </c>
      <c r="J45" s="114">
        <f t="shared" si="0"/>
        <v>162</v>
      </c>
      <c r="K45" s="121">
        <f t="shared" si="1"/>
        <v>3240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2'!B46*2&lt;Setup!$F$14,'Line 2'!I47+'Line 2'!$N$5,'Line 2'!I45-'Line 2'!$N$5)))</f>
        <v>-522.5</v>
      </c>
      <c r="J46" s="114">
        <f t="shared" si="0"/>
        <v>180.5</v>
      </c>
      <c r="K46" s="121">
        <f t="shared" si="1"/>
        <v>3610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2'!B47*2&lt;Setup!$F$14,'Line 2'!I48+'Line 2'!$N$5,'Line 2'!I46-'Line 2'!$N$5)))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2'!B48*2&lt;Setup!$F$14,'Line 2'!I49+'Line 2'!$N$5,'Line 2'!I47-'Line 2'!$N$5)))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2'!B49*2&lt;Setup!$F$14,'Line 2'!I50+'Line 2'!$N$5,'Line 2'!I48-'Line 2'!$N$5)))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2'!B50*2&lt;Setup!$F$14,'Line 2'!I51+'Line 2'!$N$5,'Line 2'!I49-'Line 2'!$N$5)))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2'!B51*2&lt;Setup!$F$14,'Line 2'!I52+'Line 2'!$N$5,'Line 2'!I50-'Line 2'!$N$5)))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2'!B52*2&lt;Setup!$F$14,'Line 2'!I53+'Line 2'!$N$5,'Line 2'!I51-'Line 2'!$N$5)))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2'!B53*2&lt;Setup!$F$14,'Line 2'!I54+'Line 2'!$N$5,'Line 2'!I52-'Line 2'!$N$5)))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2'!B54*2&lt;Setup!$F$14,'Line 2'!I55+'Line 2'!$N$5,'Line 2'!I53-'Line 2'!$N$5)))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2'!B55*2&lt;Setup!$F$14,'Line 2'!I56+'Line 2'!$N$5,'Line 2'!I54-'Line 2'!$N$5)))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2'!B56*2&lt;Setup!$F$14,'Line 2'!I57+'Line 2'!$N$5,'Line 2'!I55-'Line 2'!$N$5)))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2'!B57*2&lt;Setup!$F$14,'Line 2'!I58+'Line 2'!$N$5,'Line 2'!I56-'Line 2'!$N$5)))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2'!B58*2&lt;Setup!$F$14,'Line 2'!I59+'Line 2'!$N$5,'Line 2'!I57-'Line 2'!$N$5)))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2'!B59*2&lt;Setup!$F$14,'Line 2'!I60+'Line 2'!$N$5,'Line 2'!I58-'Line 2'!$N$5)))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2'!B60*2&lt;Setup!$F$14,'Line 2'!I61+'Line 2'!$N$5,'Line 2'!I59-'Line 2'!$N$5)))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2'!B61*2&lt;Setup!$F$14,'Line 2'!I62+'Line 2'!$N$5,'Line 2'!I60-'Line 2'!$N$5)))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2'!B62*2&lt;Setup!$F$14,'Line 2'!I63+'Line 2'!$N$5,'Line 2'!I61-'Line 2'!$N$5)))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2'!B63*2&lt;Setup!$F$14,'Line 2'!I64+'Line 2'!$N$5,'Line 2'!I62-'Line 2'!$N$5)))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2'!B64*2&lt;Setup!$F$14,'Line 2'!I65+'Line 2'!$N$5,'Line 2'!I63-'Line 2'!$N$5)))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2'!B65*2&lt;Setup!$F$14,'Line 2'!I66+'Line 2'!$N$5,'Line 2'!I64-'Line 2'!$N$5)))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2'!B66*2&lt;Setup!$F$14,'Line 2'!I67+'Line 2'!$N$5,'Line 2'!I65-'Line 2'!$N$5)))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2'!B67*2&lt;Setup!$F$14,'Line 2'!I68+'Line 2'!$N$5,'Line 2'!I66-'Line 2'!$N$5)))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2'!B68*2&lt;Setup!$F$14,'Line 2'!I69+'Line 2'!$N$5,'Line 2'!I67-'Line 2'!$N$5)))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2'!B69*2&lt;Setup!$F$14,'Line 2'!I70+'Line 2'!$N$5,'Line 2'!I68-'Line 2'!$N$5)))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2'!B70*2&lt;Setup!$F$14,'Line 2'!I71+'Line 2'!$N$5,'Line 2'!I69-'Line 2'!$N$5)))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2'!B71*2&lt;Setup!$F$14,'Line 2'!I72+'Line 2'!$N$5,'Line 2'!I70-'Line 2'!$N$5)))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2'!B72*2&lt;Setup!$F$14,'Line 2'!I73+'Line 2'!$N$5,'Line 2'!I71-'Line 2'!$N$5)))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2'!B73*2&lt;Setup!$F$14,'Line 2'!I74+'Line 2'!$N$5,'Line 2'!I72-'Line 2'!$N$5)))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66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2'!B74*2&lt;Setup!$F$14,'Line 2'!I75+'Line 2'!$N$5,'Line 2'!I73-'Line 2'!$N$5)))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C74+$C$9</f>
        <v>67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2'!B75*2&lt;Setup!$F$14,'Line 2'!I76+'Line 2'!$N$5,'Line 2'!I74-'Line 2'!$N$5)))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68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2'!B76*2&lt;Setup!$F$14,'Line 2'!I77+'Line 2'!$N$5,'Line 2'!I75-'Line 2'!$N$5)))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69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2'!B77*2&lt;Setup!$F$14,'Line 2'!I78+'Line 2'!$N$5,'Line 2'!I76-'Line 2'!$N$5)))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70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2'!B78*2&lt;Setup!$F$14,'Line 2'!I79+'Line 2'!$N$5,'Line 2'!I77-'Line 2'!$N$5)))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2'!B79*2&lt;Setup!$F$14,'Line 2'!I80+'Line 2'!$N$5,'Line 2'!I78-'Line 2'!$N$5)))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2'!B80*2&lt;Setup!$F$14,'Line 2'!I81+'Line 2'!$N$5,'Line 2'!I79-'Line 2'!$N$5)))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2'!B81*2&lt;Setup!$F$14,'Line 2'!I82+'Line 2'!$N$5,'Line 2'!I80-'Line 2'!$N$5)))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2'!B82*2&lt;Setup!$F$14,'Line 2'!I83+'Line 2'!$N$5,'Line 2'!I81-'Line 2'!$N$5)))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2'!B83*2&lt;Setup!$F$14,'Line 2'!I84+'Line 2'!$N$5,'Line 2'!I82-'Line 2'!$N$5)))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2'!B84*2&lt;Setup!$F$14,'Line 2'!I85+'Line 2'!$N$5,'Line 2'!I83-'Line 2'!$N$5)))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2'!B85*2&lt;Setup!$F$14,'Line 2'!I86+'Line 2'!$N$5,'Line 2'!I84-'Line 2'!$N$5)))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2'!B86*2&lt;Setup!$F$14,'Line 2'!I87+'Line 2'!$N$5,'Line 2'!I85-'Line 2'!$N$5)))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2'!B87*2&lt;Setup!$F$14,'Line 2'!I88+'Line 2'!$N$5,'Line 2'!I86-'Line 2'!$N$5)))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2'!B88*2&lt;Setup!$F$14,'Line 2'!I89+'Line 2'!$N$5,'Line 2'!I87-'Line 2'!$N$5)))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2'!B89*2&lt;Setup!$F$14,'Line 2'!I90+'Line 2'!$N$5,'Line 2'!I88-'Line 2'!$N$5)))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2'!B90*2&lt;Setup!$F$14,'Line 2'!I91+'Line 2'!$N$5,'Line 2'!I89-'Line 2'!$N$5)))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2'!B91*2&lt;Setup!$F$14,'Line 2'!I92+'Line 2'!$N$5,'Line 2'!I90-'Line 2'!$N$5)))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2'!B92*2&lt;Setup!$F$14,'Line 2'!I93+'Line 2'!$N$5,'Line 2'!I91-'Line 2'!$N$5)))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2'!B93*2&lt;Setup!$F$14,'Line 2'!I94+'Line 2'!$N$5,'Line 2'!I92-'Line 2'!$N$5)))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2'!B94*2&lt;Setup!$F$14,'Line 2'!I95+'Line 2'!$N$5,'Line 2'!I93-'Line 2'!$N$5)))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2'!B95*2&lt;Setup!$F$14,'Line 2'!I96+'Line 2'!$N$5,'Line 2'!I94-'Line 2'!$N$5)))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2'!B96*2&lt;Setup!$F$14,'Line 2'!I97+'Line 2'!$N$5,'Line 2'!I95-'Line 2'!$N$5)))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2'!B97*2&lt;Setup!$F$14,'Line 2'!I98+'Line 2'!$N$5,'Line 2'!I96-'Line 2'!$N$5)))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2'!B98*2&lt;Setup!$F$14,'Line 2'!I99+'Line 2'!$N$5,'Line 2'!I97-'Line 2'!$N$5)))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2'!B99*2&lt;Setup!$F$14,'Line 2'!I100+'Line 2'!$N$5,'Line 2'!I98-'Line 2'!$N$5)))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2'!B100*2&lt;Setup!$F$14,'Line 2'!I101+'Line 2'!$N$5,'Line 2'!I99-'Line 2'!$N$5)))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2'!B101*2&lt;Setup!$F$14,'Line 2'!I102+'Line 2'!$N$5,'Line 2'!I100-'Line 2'!$N$5)))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2'!B102*2&lt;Setup!$F$14,'Line 2'!I103+'Line 2'!$N$5,'Line 2'!I101-'Line 2'!$N$5)))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2'!B103*2&lt;Setup!$F$14,'Line 2'!I104+'Line 2'!$N$5,'Line 2'!I102-'Line 2'!$N$5)))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2'!B104*2&lt;Setup!$F$14,'Line 2'!I105+'Line 2'!$N$5,'Line 2'!I103-'Line 2'!$N$5)))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2'!B105*2&lt;Setup!$F$14,'Line 2'!I106+'Line 2'!$N$5,'Line 2'!I104-'Line 2'!$N$5)))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2'!B106*2&lt;Setup!$F$14,'Line 2'!I107+'Line 2'!$N$5,'Line 2'!I105-'Line 2'!$N$5)))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2'!B107*2&lt;Setup!$F$14,'Line 2'!I108+'Line 2'!$N$5,'Line 2'!I106-'Line 2'!$N$5)))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2'!B108*2&lt;Setup!$F$14,'Line 2'!I109+'Line 2'!$N$5,'Line 2'!I107-'Line 2'!$N$5)))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9" operator="equal">
      <formula>""</formula>
    </cfRule>
    <cfRule type="cellIs" dxfId="69" priority="10" operator="equal">
      <formula>"Midstation Row!"</formula>
    </cfRule>
  </conditionalFormatting>
  <conditionalFormatting sqref="L10:M28 L32:M108 M29:M31 J1:K3 B10:B108 F10:I108">
    <cfRule type="cellIs" dxfId="68" priority="8" operator="equal">
      <formula>""</formula>
    </cfRule>
  </conditionalFormatting>
  <conditionalFormatting sqref="J10:K109">
    <cfRule type="cellIs" dxfId="67" priority="7" operator="equal">
      <formula>""</formula>
    </cfRule>
  </conditionalFormatting>
  <conditionalFormatting sqref="D9:E9">
    <cfRule type="expression" dxfId="66" priority="6">
      <formula>$B9=""</formula>
    </cfRule>
  </conditionalFormatting>
  <conditionalFormatting sqref="D10:E108">
    <cfRule type="expression" dxfId="65" priority="5">
      <formula>$B10=""</formula>
    </cfRule>
  </conditionalFormatting>
  <conditionalFormatting sqref="I10 I29 I48 I67 I86 I105">
    <cfRule type="expression" dxfId="64" priority="4">
      <formula>$M10="Midstation Row!"</formula>
    </cfRule>
  </conditionalFormatting>
  <conditionalFormatting sqref="I10:I108">
    <cfRule type="expression" dxfId="63" priority="3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99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2">
        <f>MAX(B:B)</f>
        <v>34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  <c r="P1" s="26"/>
    </row>
    <row r="2" spans="1:16" ht="15.75" x14ac:dyDescent="0.25">
      <c r="A2" s="52"/>
      <c r="B2" s="1" t="str">
        <f>Setup!F8&amp;"""x"&amp;Setup!F9&amp;""" Plate, "&amp;Setup!F11&amp;""" Foot Pad Distance"</f>
        <v>72"x144" Plate, 4" Foot Pad Distance</v>
      </c>
      <c r="J2" s="156">
        <f>MAX(K:K)</f>
        <v>3610</v>
      </c>
      <c r="K2" s="157" t="s">
        <v>5</v>
      </c>
      <c r="P2" s="26"/>
    </row>
    <row r="3" spans="1:16" x14ac:dyDescent="0.2">
      <c r="A3" s="52"/>
      <c r="J3" s="156">
        <f>ABS(J1-J2)</f>
        <v>3601</v>
      </c>
      <c r="K3" s="157" t="s">
        <v>6</v>
      </c>
      <c r="P3" s="26"/>
    </row>
    <row r="4" spans="1:16" ht="18.75" thickBot="1" x14ac:dyDescent="0.3">
      <c r="A4" s="52"/>
      <c r="G4" s="2" t="s">
        <v>59</v>
      </c>
      <c r="P4" s="26"/>
    </row>
    <row r="5" spans="1:16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-16.5</v>
      </c>
      <c r="P5" s="26"/>
    </row>
    <row r="6" spans="1:16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  <c r="P6" s="28"/>
    </row>
    <row r="7" spans="1:16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  <c r="P7" s="27"/>
    </row>
    <row r="8" spans="1:16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180.5</v>
      </c>
      <c r="J8" s="22">
        <f>IF(B8="","",I8+H8)</f>
        <v>180.5</v>
      </c>
      <c r="K8" s="47">
        <f>IF(B8="","",ROUND(J8*$N$7,0))</f>
        <v>3610</v>
      </c>
      <c r="L8" s="50"/>
      <c r="N8" s="24"/>
      <c r="P8" s="28"/>
    </row>
    <row r="9" spans="1:16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164</v>
      </c>
      <c r="J9" s="22">
        <f t="shared" ref="J9" si="0">IF(B9="","",I9+H9)</f>
        <v>164</v>
      </c>
      <c r="K9" s="47">
        <f t="shared" ref="K9:K72" si="1">IF(B9="","",ROUND(J9*$N$7,0))</f>
        <v>3280</v>
      </c>
      <c r="L9" s="50"/>
      <c r="P9" s="26"/>
    </row>
    <row r="10" spans="1:16" x14ac:dyDescent="0.2">
      <c r="A10" s="52">
        <v>1</v>
      </c>
      <c r="B10" s="40">
        <f>IF(Setup!$F$13&gt;A10,'Line 1'!B9+1,"")</f>
        <v>2</v>
      </c>
      <c r="C10" s="54">
        <f>C9+$C$9</f>
        <v>2</v>
      </c>
      <c r="D10" s="55"/>
      <c r="E10" s="55"/>
      <c r="F10" s="25">
        <f t="shared" ref="F10:F73" si="2">IF(B10="","",AVERAGE(C10:E10))</f>
        <v>2</v>
      </c>
      <c r="G10" s="21">
        <f t="shared" ref="G10:G73" si="3">IF(B10="","",F10-$F$9)</f>
        <v>1</v>
      </c>
      <c r="H10" s="25">
        <f t="shared" ref="H10:H73" si="4">IF(B10="","",H9+G10)</f>
        <v>1</v>
      </c>
      <c r="I10" s="51">
        <f>IF(B10="","",IF(B10=Setup!$F$13,J10-H10,I11-$N$5))</f>
        <v>147.5</v>
      </c>
      <c r="J10" s="22">
        <f>IF(B10="","",IF(B10=Setup!$F$13,INDEX('Line 1'!J:J,MATCH(MAX('Line 1'!B:B),'Line 1'!B:B)),I10+H10))</f>
        <v>148.5</v>
      </c>
      <c r="K10" s="23">
        <f t="shared" si="1"/>
        <v>2970</v>
      </c>
      <c r="L10" s="48"/>
      <c r="M10" s="43" t="str">
        <f>IF(B10="","",IF(B10*2=Setup!$F$13,"midstation row!",""))</f>
        <v/>
      </c>
      <c r="P10" s="26"/>
    </row>
    <row r="11" spans="1:16" x14ac:dyDescent="0.2">
      <c r="A11" s="52">
        <f>A10+1</f>
        <v>2</v>
      </c>
      <c r="B11" s="40">
        <f>IF(Setup!$F$13&gt;A11,'Line 1'!B10+1,"")</f>
        <v>3</v>
      </c>
      <c r="C11" s="54">
        <f t="shared" ref="C11:C74" si="5">C10+$C$9</f>
        <v>3</v>
      </c>
      <c r="D11" s="55"/>
      <c r="E11" s="55"/>
      <c r="F11" s="25">
        <f t="shared" si="2"/>
        <v>3</v>
      </c>
      <c r="G11" s="21">
        <f t="shared" si="3"/>
        <v>2</v>
      </c>
      <c r="H11" s="25">
        <f t="shared" si="4"/>
        <v>3</v>
      </c>
      <c r="I11" s="51">
        <f>IF(B11="","",IF(B11=Setup!$F$13,J11-H11,I12-$N$5))</f>
        <v>131</v>
      </c>
      <c r="J11" s="22">
        <f>IF(B11="","",IF(B11=Setup!$F$13,INDEX('Line 1'!J:J,MATCH(MAX('Line 1'!B:B),'Line 1'!B:B)),I11+H11))</f>
        <v>134</v>
      </c>
      <c r="K11" s="23">
        <f t="shared" si="1"/>
        <v>2680</v>
      </c>
      <c r="L11" s="42"/>
      <c r="M11" s="43" t="str">
        <f>IF(B11="","",IF(B11*2=Setup!$F$13,"midstation row!",""))</f>
        <v/>
      </c>
      <c r="P11" s="26"/>
    </row>
    <row r="12" spans="1:16" x14ac:dyDescent="0.2">
      <c r="A12" s="52">
        <f t="shared" ref="A12:A75" si="6">A11+1</f>
        <v>3</v>
      </c>
      <c r="B12" s="40">
        <f>IF(Setup!$F$13&gt;A12,'Line 1'!B11+1,"")</f>
        <v>4</v>
      </c>
      <c r="C12" s="54">
        <f t="shared" si="5"/>
        <v>4</v>
      </c>
      <c r="D12" s="55"/>
      <c r="E12" s="55"/>
      <c r="F12" s="25">
        <f t="shared" si="2"/>
        <v>4</v>
      </c>
      <c r="G12" s="21">
        <f t="shared" si="3"/>
        <v>3</v>
      </c>
      <c r="H12" s="25">
        <f t="shared" si="4"/>
        <v>6</v>
      </c>
      <c r="I12" s="51">
        <f>IF(B12="","",IF(B12=Setup!$F$13,J12-H12,I13-$N$5))</f>
        <v>114.5</v>
      </c>
      <c r="J12" s="22">
        <f>IF(B12="","",IF(B12=Setup!$F$13,INDEX('Line 1'!J:J,MATCH(MAX('Line 1'!B:B),'Line 1'!B:B)),I12+H12))</f>
        <v>120.5</v>
      </c>
      <c r="K12" s="23">
        <f t="shared" si="1"/>
        <v>2410</v>
      </c>
      <c r="L12" s="42"/>
      <c r="M12" s="43" t="str">
        <f>IF(B12="","",IF(B12*2=Setup!$F$13,"midstation row!",""))</f>
        <v/>
      </c>
      <c r="P12" s="26"/>
    </row>
    <row r="13" spans="1:16" x14ac:dyDescent="0.2">
      <c r="A13" s="52">
        <f t="shared" si="6"/>
        <v>4</v>
      </c>
      <c r="B13" s="40">
        <f>IF(Setup!$F$13&gt;A13,'Line 1'!B12+1,"")</f>
        <v>5</v>
      </c>
      <c r="C13" s="54">
        <f t="shared" si="5"/>
        <v>5</v>
      </c>
      <c r="D13" s="55"/>
      <c r="E13" s="55"/>
      <c r="F13" s="25">
        <f t="shared" si="2"/>
        <v>5</v>
      </c>
      <c r="G13" s="21">
        <f t="shared" si="3"/>
        <v>4</v>
      </c>
      <c r="H13" s="25">
        <f t="shared" si="4"/>
        <v>10</v>
      </c>
      <c r="I13" s="51">
        <f>IF(B13="","",IF(B13=Setup!$F$13,J13-H13,I14-$N$5))</f>
        <v>98</v>
      </c>
      <c r="J13" s="22">
        <f>IF(B13="","",IF(B13=Setup!$F$13,INDEX('Line 1'!J:J,MATCH(MAX('Line 1'!B:B),'Line 1'!B:B)),I13+H13))</f>
        <v>108</v>
      </c>
      <c r="K13" s="23">
        <f t="shared" si="1"/>
        <v>2160</v>
      </c>
      <c r="L13" s="42"/>
      <c r="M13" s="43" t="str">
        <f>IF(B13="","",IF(B13*2=Setup!$F$13,"midstation row!",""))</f>
        <v/>
      </c>
      <c r="P13" s="26"/>
    </row>
    <row r="14" spans="1:16" x14ac:dyDescent="0.2">
      <c r="A14" s="52">
        <f t="shared" si="6"/>
        <v>5</v>
      </c>
      <c r="B14" s="40">
        <f>IF(Setup!$F$13&gt;A14,'Line 1'!B13+1,"")</f>
        <v>6</v>
      </c>
      <c r="C14" s="54">
        <f t="shared" si="5"/>
        <v>6</v>
      </c>
      <c r="D14" s="55"/>
      <c r="E14" s="55"/>
      <c r="F14" s="25">
        <f t="shared" si="2"/>
        <v>6</v>
      </c>
      <c r="G14" s="21">
        <f t="shared" si="3"/>
        <v>5</v>
      </c>
      <c r="H14" s="25">
        <f t="shared" si="4"/>
        <v>15</v>
      </c>
      <c r="I14" s="51">
        <f>IF(B14="","",IF(B14=Setup!$F$13,J14-H14,I15-$N$5))</f>
        <v>81.5</v>
      </c>
      <c r="J14" s="22">
        <f>IF(B14="","",IF(B14=Setup!$F$13,INDEX('Line 1'!J:J,MATCH(MAX('Line 1'!B:B),'Line 1'!B:B)),I14+H14))</f>
        <v>96.5</v>
      </c>
      <c r="K14" s="23">
        <f t="shared" si="1"/>
        <v>1930</v>
      </c>
      <c r="L14" s="42"/>
      <c r="M14" s="43" t="str">
        <f>IF(B14="","",IF(B14*2=Setup!$F$13,"midstation row!",""))</f>
        <v/>
      </c>
      <c r="P14" s="26"/>
    </row>
    <row r="15" spans="1:16" x14ac:dyDescent="0.2">
      <c r="A15" s="52">
        <f t="shared" si="6"/>
        <v>6</v>
      </c>
      <c r="B15" s="40">
        <f>IF(Setup!$F$13&gt;A15,'Line 1'!B14+1,"")</f>
        <v>7</v>
      </c>
      <c r="C15" s="54">
        <f t="shared" si="5"/>
        <v>7</v>
      </c>
      <c r="D15" s="55"/>
      <c r="E15" s="55"/>
      <c r="F15" s="25">
        <f t="shared" si="2"/>
        <v>7</v>
      </c>
      <c r="G15" s="21">
        <f t="shared" si="3"/>
        <v>6</v>
      </c>
      <c r="H15" s="25">
        <f t="shared" si="4"/>
        <v>21</v>
      </c>
      <c r="I15" s="51">
        <f>IF(B15="","",IF(B15=Setup!$F$13,J15-H15,I16-$N$5))</f>
        <v>65</v>
      </c>
      <c r="J15" s="22">
        <f>IF(B15="","",IF(B15=Setup!$F$13,INDEX('Line 1'!J:J,MATCH(MAX('Line 1'!B:B),'Line 1'!B:B)),I15+H15))</f>
        <v>86</v>
      </c>
      <c r="K15" s="23">
        <f t="shared" si="1"/>
        <v>1720</v>
      </c>
      <c r="L15" s="42"/>
      <c r="M15" s="43" t="str">
        <f>IF(B15="","",IF(B15*2=Setup!$F$13,"midstation row!",""))</f>
        <v/>
      </c>
      <c r="P15" s="26"/>
    </row>
    <row r="16" spans="1:16" x14ac:dyDescent="0.2">
      <c r="A16" s="52">
        <f t="shared" si="6"/>
        <v>7</v>
      </c>
      <c r="B16" s="40">
        <f>IF(Setup!$F$13&gt;A16,'Line 1'!B15+1,"")</f>
        <v>8</v>
      </c>
      <c r="C16" s="54">
        <f t="shared" si="5"/>
        <v>8</v>
      </c>
      <c r="D16" s="55"/>
      <c r="E16" s="55"/>
      <c r="F16" s="25">
        <f t="shared" si="2"/>
        <v>8</v>
      </c>
      <c r="G16" s="21">
        <f t="shared" si="3"/>
        <v>7</v>
      </c>
      <c r="H16" s="25">
        <f t="shared" si="4"/>
        <v>28</v>
      </c>
      <c r="I16" s="51">
        <f>IF(B16="","",IF(B16=Setup!$F$13,J16-H16,I17-$N$5))</f>
        <v>48.5</v>
      </c>
      <c r="J16" s="22">
        <f>IF(B16="","",IF(B16=Setup!$F$13,INDEX('Line 1'!J:J,MATCH(MAX('Line 1'!B:B),'Line 1'!B:B)),I16+H16))</f>
        <v>76.5</v>
      </c>
      <c r="K16" s="23">
        <f t="shared" si="1"/>
        <v>1530</v>
      </c>
      <c r="L16" s="42"/>
      <c r="M16" s="43" t="str">
        <f>IF(B16="","",IF(B16*2=Setup!$F$13,"midstation row!",""))</f>
        <v/>
      </c>
      <c r="P16" s="26"/>
    </row>
    <row r="17" spans="1:16" x14ac:dyDescent="0.2">
      <c r="A17" s="52">
        <f t="shared" si="6"/>
        <v>8</v>
      </c>
      <c r="B17" s="40">
        <f>IF(Setup!$F$13&gt;A17,'Line 1'!B16+1,"")</f>
        <v>9</v>
      </c>
      <c r="C17" s="54">
        <f t="shared" si="5"/>
        <v>9</v>
      </c>
      <c r="D17" s="55"/>
      <c r="E17" s="55"/>
      <c r="F17" s="25">
        <f t="shared" si="2"/>
        <v>9</v>
      </c>
      <c r="G17" s="21">
        <f t="shared" si="3"/>
        <v>8</v>
      </c>
      <c r="H17" s="25">
        <f t="shared" si="4"/>
        <v>36</v>
      </c>
      <c r="I17" s="51">
        <f>IF(B17="","",IF(B17=Setup!$F$13,J17-H17,I18-$N$5))</f>
        <v>32</v>
      </c>
      <c r="J17" s="22">
        <f>IF(B17="","",IF(B17=Setup!$F$13,INDEX('Line 1'!J:J,MATCH(MAX('Line 1'!B:B),'Line 1'!B:B)),I17+H17))</f>
        <v>68</v>
      </c>
      <c r="K17" s="23">
        <f t="shared" si="1"/>
        <v>1360</v>
      </c>
      <c r="L17" s="42"/>
      <c r="M17" s="43" t="str">
        <f>IF(B17="","",IF(B17*2=Setup!$F$13,"midstation row!",""))</f>
        <v/>
      </c>
      <c r="N17" s="41"/>
      <c r="P17" s="26"/>
    </row>
    <row r="18" spans="1:16" x14ac:dyDescent="0.2">
      <c r="A18" s="52">
        <f t="shared" si="6"/>
        <v>9</v>
      </c>
      <c r="B18" s="40">
        <f>IF(Setup!$F$13&gt;A18,'Line 1'!B17+1,"")</f>
        <v>10</v>
      </c>
      <c r="C18" s="54">
        <f t="shared" si="5"/>
        <v>10</v>
      </c>
      <c r="D18" s="55"/>
      <c r="E18" s="55"/>
      <c r="F18" s="25">
        <f t="shared" si="2"/>
        <v>10</v>
      </c>
      <c r="G18" s="21">
        <f t="shared" si="3"/>
        <v>9</v>
      </c>
      <c r="H18" s="25">
        <f t="shared" si="4"/>
        <v>45</v>
      </c>
      <c r="I18" s="51">
        <f>IF(B18="","",IF(B18=Setup!$F$13,J18-H18,I19-$N$5))</f>
        <v>15.5</v>
      </c>
      <c r="J18" s="22">
        <f>IF(B18="","",IF(B18=Setup!$F$13,INDEX('Line 1'!J:J,MATCH(MAX('Line 1'!B:B),'Line 1'!B:B)),I18+H18))</f>
        <v>60.5</v>
      </c>
      <c r="K18" s="23">
        <f t="shared" si="1"/>
        <v>1210</v>
      </c>
      <c r="L18" s="42"/>
      <c r="M18" s="43" t="str">
        <f>IF(B18="","",IF(B18*2=Setup!$F$13,"midstation row!",""))</f>
        <v/>
      </c>
      <c r="P18" s="26"/>
    </row>
    <row r="19" spans="1:16" x14ac:dyDescent="0.2">
      <c r="A19" s="52">
        <f t="shared" si="6"/>
        <v>10</v>
      </c>
      <c r="B19" s="40">
        <f>IF(Setup!$F$13&gt;A19,'Line 1'!B18+1,"")</f>
        <v>11</v>
      </c>
      <c r="C19" s="54">
        <f t="shared" si="5"/>
        <v>11</v>
      </c>
      <c r="D19" s="55"/>
      <c r="E19" s="55"/>
      <c r="F19" s="25">
        <f t="shared" si="2"/>
        <v>11</v>
      </c>
      <c r="G19" s="21">
        <f t="shared" si="3"/>
        <v>10</v>
      </c>
      <c r="H19" s="25">
        <f t="shared" si="4"/>
        <v>55</v>
      </c>
      <c r="I19" s="51">
        <f>IF(B19="","",IF(B19=Setup!$F$13,J19-H19,I20-$N$5))</f>
        <v>-1</v>
      </c>
      <c r="J19" s="22">
        <f>IF(B19="","",IF(B19=Setup!$F$13,INDEX('Line 1'!J:J,MATCH(MAX('Line 1'!B:B),'Line 1'!B:B)),I19+H19))</f>
        <v>54</v>
      </c>
      <c r="K19" s="23">
        <f t="shared" si="1"/>
        <v>1080</v>
      </c>
      <c r="L19" s="42"/>
      <c r="M19" s="43" t="str">
        <f>IF(B19="","",IF(B19*2=Setup!$F$13,"midstation row!",""))</f>
        <v/>
      </c>
      <c r="P19" s="26"/>
    </row>
    <row r="20" spans="1:16" x14ac:dyDescent="0.2">
      <c r="A20" s="52">
        <f t="shared" si="6"/>
        <v>11</v>
      </c>
      <c r="B20" s="40">
        <f>IF(Setup!$F$13&gt;A20,'Line 1'!B19+1,"")</f>
        <v>12</v>
      </c>
      <c r="C20" s="54">
        <f t="shared" si="5"/>
        <v>12</v>
      </c>
      <c r="D20" s="55"/>
      <c r="E20" s="55"/>
      <c r="F20" s="25">
        <f t="shared" si="2"/>
        <v>12</v>
      </c>
      <c r="G20" s="21">
        <f t="shared" si="3"/>
        <v>11</v>
      </c>
      <c r="H20" s="25">
        <f t="shared" si="4"/>
        <v>66</v>
      </c>
      <c r="I20" s="51">
        <f>IF(B20="","",IF(B20=Setup!$F$13,J20-H20,I21-$N$5))</f>
        <v>-17.5</v>
      </c>
      <c r="J20" s="22">
        <f>IF(B20="","",IF(B20=Setup!$F$13,INDEX('Line 1'!J:J,MATCH(MAX('Line 1'!B:B),'Line 1'!B:B)),I20+H20))</f>
        <v>48.5</v>
      </c>
      <c r="K20" s="23">
        <f t="shared" si="1"/>
        <v>970</v>
      </c>
      <c r="L20" s="42"/>
      <c r="M20" s="43" t="str">
        <f>IF(B20="","",IF(B20*2=Setup!$F$13,"midstation row!",""))</f>
        <v/>
      </c>
      <c r="P20" s="26"/>
    </row>
    <row r="21" spans="1:16" x14ac:dyDescent="0.2">
      <c r="A21" s="52">
        <f t="shared" si="6"/>
        <v>12</v>
      </c>
      <c r="B21" s="40">
        <f>IF(Setup!$F$13&gt;A21,'Line 1'!B20+1,"")</f>
        <v>13</v>
      </c>
      <c r="C21" s="54">
        <f t="shared" si="5"/>
        <v>13</v>
      </c>
      <c r="D21" s="55"/>
      <c r="E21" s="55"/>
      <c r="F21" s="25">
        <f t="shared" si="2"/>
        <v>13</v>
      </c>
      <c r="G21" s="21">
        <f t="shared" si="3"/>
        <v>12</v>
      </c>
      <c r="H21" s="25">
        <f t="shared" si="4"/>
        <v>78</v>
      </c>
      <c r="I21" s="51">
        <f>IF(B21="","",IF(B21=Setup!$F$13,J21-H21,I22-$N$5))</f>
        <v>-34</v>
      </c>
      <c r="J21" s="22">
        <f>IF(B21="","",IF(B21=Setup!$F$13,INDEX('Line 1'!J:J,MATCH(MAX('Line 1'!B:B),'Line 1'!B:B)),I21+H21))</f>
        <v>44</v>
      </c>
      <c r="K21" s="23">
        <f t="shared" si="1"/>
        <v>880</v>
      </c>
      <c r="L21" s="42"/>
      <c r="M21" s="43" t="str">
        <f>IF(B21="","",IF(B21*2=Setup!$F$13,"midstation row!",""))</f>
        <v/>
      </c>
      <c r="P21" s="26"/>
    </row>
    <row r="22" spans="1:16" x14ac:dyDescent="0.2">
      <c r="A22" s="52">
        <f t="shared" si="6"/>
        <v>13</v>
      </c>
      <c r="B22" s="40">
        <f>IF(Setup!$F$13&gt;A22,'Line 1'!B21+1,"")</f>
        <v>14</v>
      </c>
      <c r="C22" s="54">
        <f t="shared" si="5"/>
        <v>14</v>
      </c>
      <c r="D22" s="55"/>
      <c r="E22" s="55"/>
      <c r="F22" s="25">
        <f t="shared" si="2"/>
        <v>14</v>
      </c>
      <c r="G22" s="21">
        <f t="shared" si="3"/>
        <v>13</v>
      </c>
      <c r="H22" s="25">
        <f t="shared" si="4"/>
        <v>91</v>
      </c>
      <c r="I22" s="51">
        <f>IF(B22="","",IF(B22=Setup!$F$13,J22-H22,I23-$N$5))</f>
        <v>-50.5</v>
      </c>
      <c r="J22" s="22">
        <f>IF(B22="","",IF(B22=Setup!$F$13,INDEX('Line 1'!J:J,MATCH(MAX('Line 1'!B:B),'Line 1'!B:B)),I22+H22))</f>
        <v>40.5</v>
      </c>
      <c r="K22" s="23">
        <f t="shared" si="1"/>
        <v>810</v>
      </c>
      <c r="L22" s="42"/>
      <c r="M22" s="43" t="str">
        <f>IF(B22="","",IF(B22*2=Setup!$F$13,"midstation row!",""))</f>
        <v/>
      </c>
      <c r="P22" s="26"/>
    </row>
    <row r="23" spans="1:16" x14ac:dyDescent="0.2">
      <c r="A23" s="52">
        <f t="shared" si="6"/>
        <v>14</v>
      </c>
      <c r="B23" s="40">
        <f>IF(Setup!$F$13&gt;A23,'Line 1'!B22+1,"")</f>
        <v>15</v>
      </c>
      <c r="C23" s="54">
        <f t="shared" si="5"/>
        <v>15</v>
      </c>
      <c r="D23" s="55"/>
      <c r="E23" s="55"/>
      <c r="F23" s="25">
        <f t="shared" si="2"/>
        <v>15</v>
      </c>
      <c r="G23" s="21">
        <f t="shared" si="3"/>
        <v>14</v>
      </c>
      <c r="H23" s="25">
        <f t="shared" si="4"/>
        <v>105</v>
      </c>
      <c r="I23" s="51">
        <f>IF(B23="","",IF(B23=Setup!$F$13,J23-H23,I24-$N$5))</f>
        <v>-67</v>
      </c>
      <c r="J23" s="22">
        <f>IF(B23="","",IF(B23=Setup!$F$13,INDEX('Line 1'!J:J,MATCH(MAX('Line 1'!B:B),'Line 1'!B:B)),I23+H23))</f>
        <v>38</v>
      </c>
      <c r="K23" s="23">
        <f t="shared" si="1"/>
        <v>760</v>
      </c>
      <c r="L23" s="42"/>
      <c r="M23" s="43" t="str">
        <f>IF(B23="","",IF(B23*2=Setup!$F$13,"midstation row!",""))</f>
        <v/>
      </c>
    </row>
    <row r="24" spans="1:16" x14ac:dyDescent="0.2">
      <c r="A24" s="52">
        <f t="shared" si="6"/>
        <v>15</v>
      </c>
      <c r="B24" s="40">
        <f>IF(Setup!$F$13&gt;A24,'Line 1'!B23+1,"")</f>
        <v>16</v>
      </c>
      <c r="C24" s="54">
        <f t="shared" si="5"/>
        <v>16</v>
      </c>
      <c r="D24" s="55"/>
      <c r="E24" s="55"/>
      <c r="F24" s="25">
        <f t="shared" si="2"/>
        <v>16</v>
      </c>
      <c r="G24" s="21">
        <f t="shared" si="3"/>
        <v>15</v>
      </c>
      <c r="H24" s="25">
        <f t="shared" si="4"/>
        <v>120</v>
      </c>
      <c r="I24" s="51">
        <f>IF(B24="","",IF(B24=Setup!$F$13,J24-H24,I25-$N$5))</f>
        <v>-83.5</v>
      </c>
      <c r="J24" s="22">
        <f>IF(B24="","",IF(B24=Setup!$F$13,INDEX('Line 1'!J:J,MATCH(MAX('Line 1'!B:B),'Line 1'!B:B)),I24+H24))</f>
        <v>36.5</v>
      </c>
      <c r="K24" s="23">
        <f t="shared" si="1"/>
        <v>730</v>
      </c>
      <c r="L24" s="42"/>
      <c r="M24" s="43" t="str">
        <f>IF(B24="","",IF(B24*2=Setup!$F$13,"midstation row!",""))</f>
        <v/>
      </c>
    </row>
    <row r="25" spans="1:16" x14ac:dyDescent="0.2">
      <c r="A25" s="52">
        <f t="shared" si="6"/>
        <v>16</v>
      </c>
      <c r="B25" s="40">
        <f>IF(Setup!$F$13&gt;A25,'Line 1'!B24+1,"")</f>
        <v>17</v>
      </c>
      <c r="C25" s="54">
        <f t="shared" si="5"/>
        <v>17</v>
      </c>
      <c r="D25" s="55"/>
      <c r="E25" s="55"/>
      <c r="F25" s="25">
        <f t="shared" si="2"/>
        <v>17</v>
      </c>
      <c r="G25" s="21">
        <f t="shared" si="3"/>
        <v>16</v>
      </c>
      <c r="H25" s="25">
        <f t="shared" si="4"/>
        <v>136</v>
      </c>
      <c r="I25" s="51">
        <f>IF(B25="","",IF(B25=Setup!$F$13,J25-H25,I26-$N$5))</f>
        <v>-100</v>
      </c>
      <c r="J25" s="22">
        <f>IF(B25="","",IF(B25=Setup!$F$13,INDEX('Line 1'!J:J,MATCH(MAX('Line 1'!B:B),'Line 1'!B:B)),I25+H25))</f>
        <v>36</v>
      </c>
      <c r="K25" s="23">
        <f t="shared" si="1"/>
        <v>720</v>
      </c>
      <c r="L25" s="42"/>
      <c r="M25" s="43" t="str">
        <f>IF(B25="","",IF(B25*2=Setup!$F$13,"midstation row!",""))</f>
        <v>midstation row!</v>
      </c>
    </row>
    <row r="26" spans="1:16" x14ac:dyDescent="0.2">
      <c r="A26" s="52">
        <f t="shared" si="6"/>
        <v>17</v>
      </c>
      <c r="B26" s="40">
        <f>IF(Setup!$F$13&gt;A26,'Line 1'!B25+1,"")</f>
        <v>18</v>
      </c>
      <c r="C26" s="54">
        <f t="shared" si="5"/>
        <v>18</v>
      </c>
      <c r="D26" s="55"/>
      <c r="E26" s="55"/>
      <c r="F26" s="25">
        <f t="shared" si="2"/>
        <v>18</v>
      </c>
      <c r="G26" s="21">
        <f t="shared" si="3"/>
        <v>17</v>
      </c>
      <c r="H26" s="25">
        <f t="shared" si="4"/>
        <v>153</v>
      </c>
      <c r="I26" s="51">
        <f>IF(B26="","",IF(B26=Setup!$F$13,J26-H26,I27-$N$5))</f>
        <v>-116.5</v>
      </c>
      <c r="J26" s="22">
        <f>IF(B26="","",IF(B26=Setup!$F$13,INDEX('Line 1'!J:J,MATCH(MAX('Line 1'!B:B),'Line 1'!B:B)),I26+H26))</f>
        <v>36.5</v>
      </c>
      <c r="K26" s="23">
        <f t="shared" si="1"/>
        <v>730</v>
      </c>
      <c r="L26" s="42"/>
      <c r="M26" s="43" t="str">
        <f>IF(B26="","",IF(B26*2=Setup!$F$13,"midstation row!",""))</f>
        <v/>
      </c>
    </row>
    <row r="27" spans="1:16" x14ac:dyDescent="0.2">
      <c r="A27" s="52">
        <f t="shared" si="6"/>
        <v>18</v>
      </c>
      <c r="B27" s="40">
        <f>IF(Setup!$F$13&gt;A27,'Line 1'!B26+1,"")</f>
        <v>19</v>
      </c>
      <c r="C27" s="54">
        <f t="shared" si="5"/>
        <v>19</v>
      </c>
      <c r="D27" s="55"/>
      <c r="E27" s="55"/>
      <c r="F27" s="25">
        <f t="shared" si="2"/>
        <v>19</v>
      </c>
      <c r="G27" s="21">
        <f t="shared" si="3"/>
        <v>18</v>
      </c>
      <c r="H27" s="25">
        <f t="shared" si="4"/>
        <v>171</v>
      </c>
      <c r="I27" s="51">
        <f>IF(B27="","",IF(B27=Setup!$F$13,J27-H27,I28-$N$5))</f>
        <v>-133</v>
      </c>
      <c r="J27" s="22">
        <f>IF(B27="","",IF(B27=Setup!$F$13,INDEX('Line 1'!J:J,MATCH(MAX('Line 1'!B:B),'Line 1'!B:B)),I27+H27))</f>
        <v>38</v>
      </c>
      <c r="K27" s="23">
        <f t="shared" si="1"/>
        <v>760</v>
      </c>
      <c r="M27" s="43" t="str">
        <f>IF(B27="","",IF(B27*2=Setup!$F$13,"midstation row!",""))</f>
        <v/>
      </c>
    </row>
    <row r="28" spans="1:16" x14ac:dyDescent="0.2">
      <c r="A28" s="52">
        <f t="shared" si="6"/>
        <v>19</v>
      </c>
      <c r="B28" s="40">
        <f>IF(Setup!$F$13&gt;A28,'Line 1'!B27+1,"")</f>
        <v>20</v>
      </c>
      <c r="C28" s="54">
        <f t="shared" si="5"/>
        <v>20</v>
      </c>
      <c r="D28" s="55"/>
      <c r="E28" s="55"/>
      <c r="F28" s="25">
        <f>IF(B28="","",AVERAGE(C28:E28))</f>
        <v>20</v>
      </c>
      <c r="G28" s="21">
        <f>IF(B28="","",F28-$F$9)</f>
        <v>19</v>
      </c>
      <c r="H28" s="25">
        <f>IF(B28="","",H27+G28)</f>
        <v>190</v>
      </c>
      <c r="I28" s="51">
        <f>IF(B28="","",IF(B28=Setup!$F$13,J28-H28,I29-$N$5))</f>
        <v>-149.5</v>
      </c>
      <c r="J28" s="22">
        <f>IF(B28="","",IF(B28=Setup!$F$13,INDEX('Line 1'!J:J,MATCH(MAX('Line 1'!B:B),'Line 1'!B:B)),I28+H28))</f>
        <v>40.5</v>
      </c>
      <c r="K28" s="23">
        <f t="shared" si="1"/>
        <v>810</v>
      </c>
      <c r="M28" s="43" t="str">
        <f>IF(B28="","",IF(B28*2=Setup!$F$13,"midstation row!",""))</f>
        <v/>
      </c>
    </row>
    <row r="29" spans="1:16" x14ac:dyDescent="0.2">
      <c r="A29" s="52">
        <f t="shared" si="6"/>
        <v>20</v>
      </c>
      <c r="B29" s="40">
        <f>IF(Setup!$F$13&gt;A29,'Line 1'!B28+1,"")</f>
        <v>21</v>
      </c>
      <c r="C29" s="54">
        <f t="shared" si="5"/>
        <v>21</v>
      </c>
      <c r="D29" s="55"/>
      <c r="E29" s="55"/>
      <c r="F29" s="25">
        <f t="shared" si="2"/>
        <v>21</v>
      </c>
      <c r="G29" s="21">
        <f t="shared" si="3"/>
        <v>20</v>
      </c>
      <c r="H29" s="25">
        <f t="shared" si="4"/>
        <v>210</v>
      </c>
      <c r="I29" s="51">
        <f>IF(B29="","",IF(B29=Setup!$F$13,J29-H29,I30-$N$5))</f>
        <v>-166</v>
      </c>
      <c r="J29" s="22">
        <f>IF(B29="","",IF(B29=Setup!$F$13,INDEX('Line 1'!J:J,MATCH(MAX('Line 1'!B:B),'Line 1'!B:B)),I29+H29))</f>
        <v>44</v>
      </c>
      <c r="K29" s="47">
        <f t="shared" si="1"/>
        <v>880</v>
      </c>
      <c r="L29" s="50"/>
      <c r="M29" s="43" t="str">
        <f>IF(B29="","",IF(B29*2=Setup!$F$13,"midstation row!",""))</f>
        <v/>
      </c>
    </row>
    <row r="30" spans="1:16" x14ac:dyDescent="0.2">
      <c r="A30" s="52">
        <f t="shared" si="6"/>
        <v>21</v>
      </c>
      <c r="B30" s="40">
        <f>IF(Setup!$F$13&gt;A30,'Line 1'!B29+1,"")</f>
        <v>22</v>
      </c>
      <c r="C30" s="54">
        <f t="shared" si="5"/>
        <v>22</v>
      </c>
      <c r="D30" s="55"/>
      <c r="E30" s="55"/>
      <c r="F30" s="25">
        <f t="shared" si="2"/>
        <v>22</v>
      </c>
      <c r="G30" s="21">
        <f t="shared" si="3"/>
        <v>21</v>
      </c>
      <c r="H30" s="25">
        <f t="shared" si="4"/>
        <v>231</v>
      </c>
      <c r="I30" s="51">
        <f>IF(B30="","",IF(B30=Setup!$F$13,J30-H30,I31-$N$5))</f>
        <v>-182.5</v>
      </c>
      <c r="J30" s="22">
        <f>IF(B30="","",IF(B30=Setup!$F$13,INDEX('Line 1'!J:J,MATCH(MAX('Line 1'!B:B),'Line 1'!B:B)),I30+H30))</f>
        <v>48.5</v>
      </c>
      <c r="K30" s="47">
        <f t="shared" si="1"/>
        <v>970</v>
      </c>
      <c r="L30" s="50"/>
      <c r="M30" s="43" t="str">
        <f>IF(B30="","",IF(B30*2=Setup!$F$13,"midstation row!",""))</f>
        <v/>
      </c>
    </row>
    <row r="31" spans="1:16" x14ac:dyDescent="0.2">
      <c r="A31" s="52">
        <f t="shared" si="6"/>
        <v>22</v>
      </c>
      <c r="B31" s="40">
        <f>IF(Setup!$F$13&gt;A31,'Line 1'!B30+1,"")</f>
        <v>23</v>
      </c>
      <c r="C31" s="54">
        <f t="shared" si="5"/>
        <v>23</v>
      </c>
      <c r="D31" s="55"/>
      <c r="E31" s="55"/>
      <c r="F31" s="25">
        <f t="shared" si="2"/>
        <v>23</v>
      </c>
      <c r="G31" s="21">
        <f t="shared" si="3"/>
        <v>22</v>
      </c>
      <c r="H31" s="25">
        <f t="shared" si="4"/>
        <v>253</v>
      </c>
      <c r="I31" s="51">
        <f>IF(B31="","",IF(B31=Setup!$F$13,J31-H31,I32-$N$5))</f>
        <v>-199</v>
      </c>
      <c r="J31" s="22">
        <f>IF(B31="","",IF(B31=Setup!$F$13,INDEX('Line 1'!J:J,MATCH(MAX('Line 1'!B:B),'Line 1'!B:B)),I31+H31))</f>
        <v>54</v>
      </c>
      <c r="K31" s="47">
        <f t="shared" si="1"/>
        <v>1080</v>
      </c>
      <c r="L31" s="50"/>
      <c r="M31" s="43" t="str">
        <f>IF(B31="","",IF(B31*2=Setup!$F$13,"midstation row!",""))</f>
        <v/>
      </c>
    </row>
    <row r="32" spans="1:16" x14ac:dyDescent="0.2">
      <c r="A32" s="52">
        <f t="shared" si="6"/>
        <v>23</v>
      </c>
      <c r="B32" s="40">
        <f>IF(Setup!$F$13&gt;A32,'Line 1'!B31+1,"")</f>
        <v>24</v>
      </c>
      <c r="C32" s="54">
        <f t="shared" si="5"/>
        <v>24</v>
      </c>
      <c r="D32" s="55"/>
      <c r="E32" s="55"/>
      <c r="F32" s="25">
        <f t="shared" si="2"/>
        <v>24</v>
      </c>
      <c r="G32" s="21">
        <f t="shared" si="3"/>
        <v>23</v>
      </c>
      <c r="H32" s="25">
        <f t="shared" si="4"/>
        <v>276</v>
      </c>
      <c r="I32" s="51">
        <f>IF(B32="","",IF(B32=Setup!$F$13,J32-H32,I33-$N$5))</f>
        <v>-215.5</v>
      </c>
      <c r="J32" s="22">
        <f>IF(B32="","",IF(B32=Setup!$F$13,INDEX('Line 1'!J:J,MATCH(MAX('Line 1'!B:B),'Line 1'!B:B)),I32+H32))</f>
        <v>60.5</v>
      </c>
      <c r="K32" s="23">
        <f t="shared" si="1"/>
        <v>1210</v>
      </c>
      <c r="M32" s="43" t="str">
        <f>IF(B32="","",IF(B32*2=Setup!$F$13,"midstation row!",""))</f>
        <v/>
      </c>
    </row>
    <row r="33" spans="1:13" x14ac:dyDescent="0.2">
      <c r="A33" s="52">
        <f t="shared" si="6"/>
        <v>24</v>
      </c>
      <c r="B33" s="40">
        <f>IF(Setup!$F$13&gt;A33,'Line 1'!B32+1,"")</f>
        <v>25</v>
      </c>
      <c r="C33" s="54">
        <f t="shared" si="5"/>
        <v>25</v>
      </c>
      <c r="D33" s="55"/>
      <c r="E33" s="55"/>
      <c r="F33" s="25">
        <f t="shared" si="2"/>
        <v>25</v>
      </c>
      <c r="G33" s="21">
        <f t="shared" si="3"/>
        <v>24</v>
      </c>
      <c r="H33" s="25">
        <f t="shared" si="4"/>
        <v>300</v>
      </c>
      <c r="I33" s="51">
        <f>IF(B33="","",IF(B33=Setup!$F$13,J33-H33,I34-$N$5))</f>
        <v>-232</v>
      </c>
      <c r="J33" s="22">
        <f>IF(B33="","",IF(B33=Setup!$F$13,INDEX('Line 1'!J:J,MATCH(MAX('Line 1'!B:B),'Line 1'!B:B)),I33+H33))</f>
        <v>68</v>
      </c>
      <c r="K33" s="23">
        <f t="shared" si="1"/>
        <v>1360</v>
      </c>
      <c r="M33" s="43" t="str">
        <f>IF(B33="","",IF(B33*2=Setup!$F$13,"midstation row!",""))</f>
        <v/>
      </c>
    </row>
    <row r="34" spans="1:13" x14ac:dyDescent="0.2">
      <c r="A34" s="52">
        <f t="shared" si="6"/>
        <v>25</v>
      </c>
      <c r="B34" s="40">
        <f>IF(Setup!$F$13&gt;A34,'Line 1'!B33+1,"")</f>
        <v>26</v>
      </c>
      <c r="C34" s="54">
        <f t="shared" si="5"/>
        <v>26</v>
      </c>
      <c r="D34" s="55"/>
      <c r="E34" s="55"/>
      <c r="F34" s="25">
        <f t="shared" si="2"/>
        <v>26</v>
      </c>
      <c r="G34" s="21">
        <f t="shared" si="3"/>
        <v>25</v>
      </c>
      <c r="H34" s="25">
        <f t="shared" si="4"/>
        <v>325</v>
      </c>
      <c r="I34" s="51">
        <f>IF(B34="","",IF(B34=Setup!$F$13,J34-H34,I35-$N$5))</f>
        <v>-248.5</v>
      </c>
      <c r="J34" s="22">
        <f>IF(B34="","",IF(B34=Setup!$F$13,INDEX('Line 1'!J:J,MATCH(MAX('Line 1'!B:B),'Line 1'!B:B)),I34+H34))</f>
        <v>76.5</v>
      </c>
      <c r="K34" s="23">
        <f t="shared" si="1"/>
        <v>1530</v>
      </c>
      <c r="M34" s="43" t="str">
        <f>IF(B34="","",IF(B34*2=Setup!$F$13,"midstation row!",""))</f>
        <v/>
      </c>
    </row>
    <row r="35" spans="1:13" x14ac:dyDescent="0.2">
      <c r="A35" s="52">
        <f t="shared" si="6"/>
        <v>26</v>
      </c>
      <c r="B35" s="40">
        <f>IF(Setup!$F$13&gt;A35,'Line 1'!B34+1,"")</f>
        <v>27</v>
      </c>
      <c r="C35" s="54">
        <f t="shared" si="5"/>
        <v>27</v>
      </c>
      <c r="D35" s="55"/>
      <c r="E35" s="55"/>
      <c r="F35" s="25">
        <f t="shared" si="2"/>
        <v>27</v>
      </c>
      <c r="G35" s="21">
        <f t="shared" si="3"/>
        <v>26</v>
      </c>
      <c r="H35" s="25">
        <f t="shared" si="4"/>
        <v>351</v>
      </c>
      <c r="I35" s="51">
        <f>IF(B35="","",IF(B35=Setup!$F$13,J35-H35,I36-$N$5))</f>
        <v>-265</v>
      </c>
      <c r="J35" s="22">
        <f>IF(B35="","",IF(B35=Setup!$F$13,INDEX('Line 1'!J:J,MATCH(MAX('Line 1'!B:B),'Line 1'!B:B)),I35+H35))</f>
        <v>86</v>
      </c>
      <c r="K35" s="23">
        <f t="shared" si="1"/>
        <v>1720</v>
      </c>
      <c r="M35" s="43" t="str">
        <f>IF(B35="","",IF(B35*2=Setup!$F$13,"midstation row!",""))</f>
        <v/>
      </c>
    </row>
    <row r="36" spans="1:13" x14ac:dyDescent="0.2">
      <c r="A36" s="52">
        <f t="shared" si="6"/>
        <v>27</v>
      </c>
      <c r="B36" s="40">
        <f>IF(Setup!$F$13&gt;A36,'Line 1'!B35+1,"")</f>
        <v>28</v>
      </c>
      <c r="C36" s="54">
        <f t="shared" si="5"/>
        <v>28</v>
      </c>
      <c r="D36" s="55"/>
      <c r="E36" s="55"/>
      <c r="F36" s="25">
        <f t="shared" si="2"/>
        <v>28</v>
      </c>
      <c r="G36" s="21">
        <f t="shared" si="3"/>
        <v>27</v>
      </c>
      <c r="H36" s="25">
        <f t="shared" si="4"/>
        <v>378</v>
      </c>
      <c r="I36" s="51">
        <f>IF(B36="","",IF(B36=Setup!$F$13,J36-H36,I37-$N$5))</f>
        <v>-281.5</v>
      </c>
      <c r="J36" s="22">
        <f>IF(B36="","",IF(B36=Setup!$F$13,INDEX('Line 1'!J:J,MATCH(MAX('Line 1'!B:B),'Line 1'!B:B)),I36+H36))</f>
        <v>96.5</v>
      </c>
      <c r="K36" s="23">
        <f t="shared" si="1"/>
        <v>1930</v>
      </c>
      <c r="M36" s="43" t="str">
        <f>IF(B36="","",IF(B36*2=Setup!$F$13,"midstation row!",""))</f>
        <v/>
      </c>
    </row>
    <row r="37" spans="1:13" x14ac:dyDescent="0.2">
      <c r="A37" s="52">
        <f t="shared" si="6"/>
        <v>28</v>
      </c>
      <c r="B37" s="40">
        <f>IF(Setup!$F$13&gt;A37,'Line 1'!B36+1,"")</f>
        <v>29</v>
      </c>
      <c r="C37" s="54">
        <f t="shared" si="5"/>
        <v>29</v>
      </c>
      <c r="D37" s="55"/>
      <c r="E37" s="55"/>
      <c r="F37" s="25">
        <f t="shared" si="2"/>
        <v>29</v>
      </c>
      <c r="G37" s="21">
        <f t="shared" si="3"/>
        <v>28</v>
      </c>
      <c r="H37" s="25">
        <f t="shared" si="4"/>
        <v>406</v>
      </c>
      <c r="I37" s="51">
        <f>IF(B37="","",IF(B37=Setup!$F$13,J37-H37,I38-$N$5))</f>
        <v>-298</v>
      </c>
      <c r="J37" s="22">
        <f>IF(B37="","",IF(B37=Setup!$F$13,INDEX('Line 1'!J:J,MATCH(MAX('Line 1'!B:B),'Line 1'!B:B)),I37+H37))</f>
        <v>108</v>
      </c>
      <c r="K37" s="23">
        <f t="shared" si="1"/>
        <v>2160</v>
      </c>
      <c r="M37" s="43" t="str">
        <f>IF(B37="","",IF(B37*2=Setup!$F$13,"midstation row!",""))</f>
        <v/>
      </c>
    </row>
    <row r="38" spans="1:13" x14ac:dyDescent="0.2">
      <c r="A38" s="52">
        <f t="shared" si="6"/>
        <v>29</v>
      </c>
      <c r="B38" s="40">
        <f>IF(Setup!$F$13&gt;A38,'Line 1'!B37+1,"")</f>
        <v>30</v>
      </c>
      <c r="C38" s="54">
        <f t="shared" si="5"/>
        <v>30</v>
      </c>
      <c r="D38" s="55"/>
      <c r="E38" s="55"/>
      <c r="F38" s="25">
        <f t="shared" si="2"/>
        <v>30</v>
      </c>
      <c r="G38" s="21">
        <f t="shared" si="3"/>
        <v>29</v>
      </c>
      <c r="H38" s="25">
        <f t="shared" si="4"/>
        <v>435</v>
      </c>
      <c r="I38" s="51">
        <f>IF(B38="","",IF(B38=Setup!$F$13,J38-H38,I39-$N$5))</f>
        <v>-314.5</v>
      </c>
      <c r="J38" s="22">
        <f>IF(B38="","",IF(B38=Setup!$F$13,INDEX('Line 1'!J:J,MATCH(MAX('Line 1'!B:B),'Line 1'!B:B)),I38+H38))</f>
        <v>120.5</v>
      </c>
      <c r="K38" s="23">
        <f t="shared" si="1"/>
        <v>2410</v>
      </c>
      <c r="M38" s="43" t="str">
        <f>IF(B38="","",IF(B38*2=Setup!$F$13,"midstation row!",""))</f>
        <v/>
      </c>
    </row>
    <row r="39" spans="1:13" x14ac:dyDescent="0.2">
      <c r="A39" s="52">
        <f t="shared" si="6"/>
        <v>30</v>
      </c>
      <c r="B39" s="40">
        <f>IF(Setup!$F$13&gt;A39,'Line 1'!B38+1,"")</f>
        <v>31</v>
      </c>
      <c r="C39" s="54">
        <f t="shared" si="5"/>
        <v>31</v>
      </c>
      <c r="D39" s="55"/>
      <c r="E39" s="55"/>
      <c r="F39" s="25">
        <f t="shared" si="2"/>
        <v>31</v>
      </c>
      <c r="G39" s="21">
        <f t="shared" si="3"/>
        <v>30</v>
      </c>
      <c r="H39" s="25">
        <f t="shared" si="4"/>
        <v>465</v>
      </c>
      <c r="I39" s="51">
        <f>IF(B39="","",IF(B39=Setup!$F$13,J39-H39,I40-$N$5))</f>
        <v>-331</v>
      </c>
      <c r="J39" s="22">
        <f>IF(B39="","",IF(B39=Setup!$F$13,INDEX('Line 1'!J:J,MATCH(MAX('Line 1'!B:B),'Line 1'!B:B)),I39+H39))</f>
        <v>134</v>
      </c>
      <c r="K39" s="23">
        <f t="shared" si="1"/>
        <v>2680</v>
      </c>
      <c r="M39" s="43" t="str">
        <f>IF(B39="","",IF(B39*2=Setup!$F$13,"midstation row!",""))</f>
        <v/>
      </c>
    </row>
    <row r="40" spans="1:13" x14ac:dyDescent="0.2">
      <c r="A40" s="52">
        <f t="shared" si="6"/>
        <v>31</v>
      </c>
      <c r="B40" s="40">
        <f>IF(Setup!$F$13&gt;A40,'Line 1'!B39+1,"")</f>
        <v>32</v>
      </c>
      <c r="C40" s="54">
        <f t="shared" si="5"/>
        <v>32</v>
      </c>
      <c r="D40" s="55"/>
      <c r="E40" s="55"/>
      <c r="F40" s="25">
        <f t="shared" si="2"/>
        <v>32</v>
      </c>
      <c r="G40" s="21">
        <f t="shared" si="3"/>
        <v>31</v>
      </c>
      <c r="H40" s="25">
        <f t="shared" si="4"/>
        <v>496</v>
      </c>
      <c r="I40" s="51">
        <f>IF(B40="","",IF(B40=Setup!$F$13,J40-H40,I41-$N$5))</f>
        <v>-347.5</v>
      </c>
      <c r="J40" s="22">
        <f>IF(B40="","",IF(B40=Setup!$F$13,INDEX('Line 1'!J:J,MATCH(MAX('Line 1'!B:B),'Line 1'!B:B)),I40+H40))</f>
        <v>148.5</v>
      </c>
      <c r="K40" s="23">
        <f t="shared" si="1"/>
        <v>2970</v>
      </c>
      <c r="M40" s="43" t="str">
        <f>IF(B40="","",IF(B40*2=Setup!$F$13,"midstation row!",""))</f>
        <v/>
      </c>
    </row>
    <row r="41" spans="1:13" x14ac:dyDescent="0.2">
      <c r="A41" s="52">
        <f t="shared" si="6"/>
        <v>32</v>
      </c>
      <c r="B41" s="40">
        <f>IF(Setup!$F$13&gt;A41,'Line 1'!B40+1,"")</f>
        <v>33</v>
      </c>
      <c r="C41" s="54">
        <f t="shared" si="5"/>
        <v>33</v>
      </c>
      <c r="D41" s="55"/>
      <c r="E41" s="55"/>
      <c r="F41" s="25">
        <f t="shared" si="2"/>
        <v>33</v>
      </c>
      <c r="G41" s="21">
        <f t="shared" si="3"/>
        <v>32</v>
      </c>
      <c r="H41" s="25">
        <f t="shared" si="4"/>
        <v>528</v>
      </c>
      <c r="I41" s="51">
        <f>IF(B41="","",IF(B41=Setup!$F$13,J41-H41,I42-$N$5))</f>
        <v>-364</v>
      </c>
      <c r="J41" s="22">
        <f>IF(B41="","",IF(B41=Setup!$F$13,INDEX('Line 1'!J:J,MATCH(MAX('Line 1'!B:B),'Line 1'!B:B)),I41+H41))</f>
        <v>164</v>
      </c>
      <c r="K41" s="23">
        <f t="shared" si="1"/>
        <v>3280</v>
      </c>
      <c r="M41" s="43" t="str">
        <f>IF(B41="","",IF(B41*2=Setup!$F$13,"midstation row!",""))</f>
        <v/>
      </c>
    </row>
    <row r="42" spans="1:13" x14ac:dyDescent="0.2">
      <c r="A42" s="52">
        <f t="shared" si="6"/>
        <v>33</v>
      </c>
      <c r="B42" s="40">
        <f>IF(Setup!$F$13&gt;A42,'Line 1'!B41+1,"")</f>
        <v>34</v>
      </c>
      <c r="C42" s="54">
        <f t="shared" si="5"/>
        <v>34</v>
      </c>
      <c r="D42" s="55"/>
      <c r="E42" s="55"/>
      <c r="F42" s="25">
        <f t="shared" si="2"/>
        <v>34</v>
      </c>
      <c r="G42" s="21">
        <f t="shared" si="3"/>
        <v>33</v>
      </c>
      <c r="H42" s="25">
        <f t="shared" si="4"/>
        <v>561</v>
      </c>
      <c r="I42" s="51">
        <f>IF(B42="","",IF(B42=Setup!$F$13,J42-H42,I43-$N$5))</f>
        <v>-380.5</v>
      </c>
      <c r="J42" s="22">
        <f>IF(B42="","",IF(B42=Setup!$F$13,INDEX('Line 1'!J:J,MATCH(MAX('Line 1'!B:B),'Line 1'!B:B)),I42+H42))</f>
        <v>180.5</v>
      </c>
      <c r="K42" s="23">
        <f t="shared" si="1"/>
        <v>3610</v>
      </c>
      <c r="M42" s="43" t="str">
        <f>IF(B42="","",IF(B42*2=Setup!$F$13,"midstation row!",""))</f>
        <v/>
      </c>
    </row>
    <row r="43" spans="1:13" x14ac:dyDescent="0.2">
      <c r="A43" s="52">
        <f t="shared" si="6"/>
        <v>34</v>
      </c>
      <c r="B43" s="40" t="str">
        <f>IF(Setup!$F$13&gt;A43,'Line 1'!B42+1,"")</f>
        <v/>
      </c>
      <c r="C43" s="54">
        <f t="shared" si="5"/>
        <v>35</v>
      </c>
      <c r="D43" s="55"/>
      <c r="E43" s="55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1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3" t="str">
        <f>IF(B43="","",IF(B43*2=Setup!$F$13,"midstation row!",""))</f>
        <v/>
      </c>
    </row>
    <row r="44" spans="1:13" x14ac:dyDescent="0.2">
      <c r="A44" s="52">
        <f t="shared" si="6"/>
        <v>35</v>
      </c>
      <c r="B44" s="40" t="str">
        <f>IF(Setup!$F$13&gt;A44,'Line 1'!B43+1,"")</f>
        <v/>
      </c>
      <c r="C44" s="54">
        <f t="shared" si="5"/>
        <v>36</v>
      </c>
      <c r="D44" s="55"/>
      <c r="E44" s="55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1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3" t="str">
        <f>IF(B44="","",IF(B44*2=Setup!$F$13,"midstation row!",""))</f>
        <v/>
      </c>
    </row>
    <row r="45" spans="1:13" x14ac:dyDescent="0.2">
      <c r="A45" s="52">
        <f t="shared" si="6"/>
        <v>36</v>
      </c>
      <c r="B45" s="40" t="str">
        <f>IF(Setup!$F$13&gt;A45,'Line 1'!B44+1,"")</f>
        <v/>
      </c>
      <c r="C45" s="54">
        <f t="shared" si="5"/>
        <v>37</v>
      </c>
      <c r="D45" s="55"/>
      <c r="E45" s="55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1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3" t="str">
        <f>IF(B45="","",IF(B45*2=Setup!$F$13,"midstation row!",""))</f>
        <v/>
      </c>
    </row>
    <row r="46" spans="1:13" x14ac:dyDescent="0.2">
      <c r="A46" s="52">
        <f t="shared" si="6"/>
        <v>37</v>
      </c>
      <c r="B46" s="40" t="str">
        <f>IF(Setup!$F$13&gt;A46,'Line 1'!B45+1,"")</f>
        <v/>
      </c>
      <c r="C46" s="54">
        <f t="shared" si="5"/>
        <v>38</v>
      </c>
      <c r="D46" s="55"/>
      <c r="E46" s="55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1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3" t="str">
        <f>IF(B46="","",IF(B46*2=Setup!$F$13,"midstation row!",""))</f>
        <v/>
      </c>
    </row>
    <row r="47" spans="1:13" x14ac:dyDescent="0.2">
      <c r="A47" s="52">
        <f t="shared" si="6"/>
        <v>38</v>
      </c>
      <c r="B47" s="40" t="str">
        <f>IF(Setup!$F$13&gt;A47,'Line 1'!B46+1,"")</f>
        <v/>
      </c>
      <c r="C47" s="54">
        <f t="shared" si="5"/>
        <v>39</v>
      </c>
      <c r="D47" s="55"/>
      <c r="E47" s="55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1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3" t="str">
        <f>IF(B47="","",IF(B47*2=Setup!$F$13,"midstation row!",""))</f>
        <v/>
      </c>
    </row>
    <row r="48" spans="1:13" x14ac:dyDescent="0.2">
      <c r="A48" s="52">
        <f t="shared" si="6"/>
        <v>39</v>
      </c>
      <c r="B48" s="40" t="str">
        <f>IF(Setup!$F$13&gt;A48,'Line 1'!B47+1,"")</f>
        <v/>
      </c>
      <c r="C48" s="54">
        <f t="shared" si="5"/>
        <v>40</v>
      </c>
      <c r="D48" s="55"/>
      <c r="E48" s="55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1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3" t="str">
        <f>IF(B48="","",IF(B48*2=Setup!$F$13,"midstation row!",""))</f>
        <v/>
      </c>
    </row>
    <row r="49" spans="1:13" x14ac:dyDescent="0.2">
      <c r="A49" s="52">
        <f t="shared" si="6"/>
        <v>40</v>
      </c>
      <c r="B49" s="40" t="str">
        <f>IF(Setup!$F$13&gt;A49,'Line 1'!B48+1,"")</f>
        <v/>
      </c>
      <c r="C49" s="54">
        <f t="shared" si="5"/>
        <v>41</v>
      </c>
      <c r="D49" s="55"/>
      <c r="E49" s="55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1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3" t="str">
        <f>IF(B49="","",IF(B49*2=Setup!$F$13,"midstation row!",""))</f>
        <v/>
      </c>
    </row>
    <row r="50" spans="1:13" x14ac:dyDescent="0.2">
      <c r="A50" s="52">
        <f t="shared" si="6"/>
        <v>41</v>
      </c>
      <c r="B50" s="40" t="str">
        <f>IF(Setup!$F$13&gt;A50,'Line 1'!B49+1,"")</f>
        <v/>
      </c>
      <c r="C50" s="54">
        <f t="shared" si="5"/>
        <v>42</v>
      </c>
      <c r="D50" s="55"/>
      <c r="E50" s="55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1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3" t="str">
        <f>IF(B50="","",IF(B50*2=Setup!$F$13,"midstation row!",""))</f>
        <v/>
      </c>
    </row>
    <row r="51" spans="1:13" x14ac:dyDescent="0.2">
      <c r="A51" s="52">
        <f t="shared" si="6"/>
        <v>42</v>
      </c>
      <c r="B51" s="40" t="str">
        <f>IF(Setup!$F$13&gt;A51,'Line 1'!B50+1,"")</f>
        <v/>
      </c>
      <c r="C51" s="54">
        <f t="shared" si="5"/>
        <v>43</v>
      </c>
      <c r="D51" s="55"/>
      <c r="E51" s="55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1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3" t="str">
        <f>IF(B51="","",IF(B51*2=Setup!$F$13,"midstation row!",""))</f>
        <v/>
      </c>
    </row>
    <row r="52" spans="1:13" x14ac:dyDescent="0.2">
      <c r="A52" s="52">
        <f t="shared" si="6"/>
        <v>43</v>
      </c>
      <c r="B52" s="40" t="str">
        <f>IF(Setup!$F$13&gt;A52,'Line 1'!B51+1,"")</f>
        <v/>
      </c>
      <c r="C52" s="54">
        <f t="shared" si="5"/>
        <v>44</v>
      </c>
      <c r="D52" s="55"/>
      <c r="E52" s="55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1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3" t="str">
        <f>IF(B52="","",IF(B52*2=Setup!$F$13,"midstation row!",""))</f>
        <v/>
      </c>
    </row>
    <row r="53" spans="1:13" x14ac:dyDescent="0.2">
      <c r="A53" s="52">
        <f t="shared" si="6"/>
        <v>44</v>
      </c>
      <c r="B53" s="40" t="str">
        <f>IF(Setup!$F$13&gt;A53,'Line 1'!B52+1,"")</f>
        <v/>
      </c>
      <c r="C53" s="54">
        <f t="shared" si="5"/>
        <v>45</v>
      </c>
      <c r="D53" s="55"/>
      <c r="E53" s="55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1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3" t="str">
        <f>IF(B53="","",IF(B53*2=Setup!$F$13,"midstation row!",""))</f>
        <v/>
      </c>
    </row>
    <row r="54" spans="1:13" x14ac:dyDescent="0.2">
      <c r="A54" s="52">
        <f t="shared" si="6"/>
        <v>45</v>
      </c>
      <c r="B54" s="40" t="str">
        <f>IF(Setup!$F$13&gt;A54,'Line 1'!B53+1,"")</f>
        <v/>
      </c>
      <c r="C54" s="54">
        <f t="shared" si="5"/>
        <v>46</v>
      </c>
      <c r="D54" s="55"/>
      <c r="E54" s="55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1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3" t="str">
        <f>IF(B54="","",IF(B54*2=Setup!$F$13,"midstation row!",""))</f>
        <v/>
      </c>
    </row>
    <row r="55" spans="1:13" x14ac:dyDescent="0.2">
      <c r="A55" s="52">
        <f t="shared" si="6"/>
        <v>46</v>
      </c>
      <c r="B55" s="40" t="str">
        <f>IF(Setup!$F$13&gt;A55,'Line 1'!B54+1,"")</f>
        <v/>
      </c>
      <c r="C55" s="54">
        <f t="shared" si="5"/>
        <v>47</v>
      </c>
      <c r="D55" s="55"/>
      <c r="E55" s="55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1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3" t="str">
        <f>IF(B55="","",IF(B55*2=Setup!$F$13,"midstation row!",""))</f>
        <v/>
      </c>
    </row>
    <row r="56" spans="1:13" x14ac:dyDescent="0.2">
      <c r="A56" s="52">
        <f t="shared" si="6"/>
        <v>47</v>
      </c>
      <c r="B56" s="40" t="str">
        <f>IF(Setup!$F$13&gt;A56,'Line 1'!B55+1,"")</f>
        <v/>
      </c>
      <c r="C56" s="54">
        <f t="shared" si="5"/>
        <v>48</v>
      </c>
      <c r="D56" s="55"/>
      <c r="E56" s="55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1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3" t="str">
        <f>IF(B56="","",IF(B56*2=Setup!$F$13,"midstation row!",""))</f>
        <v/>
      </c>
    </row>
    <row r="57" spans="1:13" x14ac:dyDescent="0.2">
      <c r="A57" s="52">
        <f t="shared" si="6"/>
        <v>48</v>
      </c>
      <c r="B57" s="40" t="str">
        <f>IF(Setup!$F$13&gt;A57,'Line 1'!B56+1,"")</f>
        <v/>
      </c>
      <c r="C57" s="54">
        <f t="shared" si="5"/>
        <v>49</v>
      </c>
      <c r="D57" s="55"/>
      <c r="E57" s="55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1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3" t="str">
        <f>IF(B57="","",IF(B57*2=Setup!$F$13,"midstation row!",""))</f>
        <v/>
      </c>
    </row>
    <row r="58" spans="1:13" x14ac:dyDescent="0.2">
      <c r="A58" s="52">
        <f t="shared" si="6"/>
        <v>49</v>
      </c>
      <c r="B58" s="40" t="str">
        <f>IF(Setup!$F$13&gt;A58,'Line 1'!B57+1,"")</f>
        <v/>
      </c>
      <c r="C58" s="54">
        <f t="shared" si="5"/>
        <v>50</v>
      </c>
      <c r="D58" s="55"/>
      <c r="E58" s="55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1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3" t="str">
        <f>IF(B58="","",IF(B58*2=Setup!$F$13,"midstation row!",""))</f>
        <v/>
      </c>
    </row>
    <row r="59" spans="1:13" x14ac:dyDescent="0.2">
      <c r="A59" s="52">
        <f t="shared" si="6"/>
        <v>50</v>
      </c>
      <c r="B59" s="40" t="str">
        <f>IF(Setup!$F$13&gt;A59,'Line 1'!B58+1,"")</f>
        <v/>
      </c>
      <c r="C59" s="54">
        <f t="shared" si="5"/>
        <v>51</v>
      </c>
      <c r="D59" s="55"/>
      <c r="E59" s="55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1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3" t="str">
        <f>IF(B59="","",IF(B59*2=Setup!$F$13,"midstation row!",""))</f>
        <v/>
      </c>
    </row>
    <row r="60" spans="1:13" x14ac:dyDescent="0.2">
      <c r="A60" s="52">
        <f t="shared" si="6"/>
        <v>51</v>
      </c>
      <c r="B60" s="40" t="str">
        <f>IF(Setup!$F$13&gt;A60,'Line 1'!B59+1,"")</f>
        <v/>
      </c>
      <c r="C60" s="54">
        <f t="shared" si="5"/>
        <v>52</v>
      </c>
      <c r="D60" s="55"/>
      <c r="E60" s="55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1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3" t="str">
        <f>IF(B60="","",IF(B60*2=Setup!$F$13,"midstation row!",""))</f>
        <v/>
      </c>
    </row>
    <row r="61" spans="1:13" x14ac:dyDescent="0.2">
      <c r="A61" s="52">
        <f t="shared" si="6"/>
        <v>52</v>
      </c>
      <c r="B61" s="40" t="str">
        <f>IF(Setup!$F$13&gt;A61,'Line 1'!B60+1,"")</f>
        <v/>
      </c>
      <c r="C61" s="54">
        <f t="shared" si="5"/>
        <v>53</v>
      </c>
      <c r="D61" s="55"/>
      <c r="E61" s="55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1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3" t="str">
        <f>IF(B61="","",IF(B61*2=Setup!$F$13,"midstation row!",""))</f>
        <v/>
      </c>
    </row>
    <row r="62" spans="1:13" x14ac:dyDescent="0.2">
      <c r="A62" s="52">
        <f t="shared" si="6"/>
        <v>53</v>
      </c>
      <c r="B62" s="40" t="str">
        <f>IF(Setup!$F$13&gt;A62,'Line 1'!B61+1,"")</f>
        <v/>
      </c>
      <c r="C62" s="54">
        <f t="shared" si="5"/>
        <v>54</v>
      </c>
      <c r="D62" s="55"/>
      <c r="E62" s="55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1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3" t="str">
        <f>IF(B62="","",IF(B62*2=Setup!$F$13,"midstation row!",""))</f>
        <v/>
      </c>
    </row>
    <row r="63" spans="1:13" x14ac:dyDescent="0.2">
      <c r="A63" s="52">
        <f t="shared" si="6"/>
        <v>54</v>
      </c>
      <c r="B63" s="40" t="str">
        <f>IF(Setup!$F$13&gt;A63,'Line 1'!B62+1,"")</f>
        <v/>
      </c>
      <c r="C63" s="54">
        <f t="shared" si="5"/>
        <v>55</v>
      </c>
      <c r="D63" s="55"/>
      <c r="E63" s="55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1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3" t="str">
        <f>IF(B63="","",IF(B63*2=Setup!$F$13,"midstation row!",""))</f>
        <v/>
      </c>
    </row>
    <row r="64" spans="1:13" x14ac:dyDescent="0.2">
      <c r="A64" s="52">
        <f t="shared" si="6"/>
        <v>55</v>
      </c>
      <c r="B64" s="40" t="str">
        <f>IF(Setup!$F$13&gt;A64,'Line 1'!B63+1,"")</f>
        <v/>
      </c>
      <c r="C64" s="54">
        <f t="shared" si="5"/>
        <v>56</v>
      </c>
      <c r="D64" s="55"/>
      <c r="E64" s="55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1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3" t="str">
        <f>IF(B64="","",IF(B64*2=Setup!$F$13,"midstation row!",""))</f>
        <v/>
      </c>
    </row>
    <row r="65" spans="1:13" x14ac:dyDescent="0.2">
      <c r="A65" s="52">
        <f t="shared" si="6"/>
        <v>56</v>
      </c>
      <c r="B65" s="40" t="str">
        <f>IF(Setup!$F$13&gt;A65,'Line 1'!B64+1,"")</f>
        <v/>
      </c>
      <c r="C65" s="54">
        <f t="shared" si="5"/>
        <v>57</v>
      </c>
      <c r="D65" s="55"/>
      <c r="E65" s="55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1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3" t="str">
        <f>IF(B65="","",IF(B65*2=Setup!$F$13,"midstation row!",""))</f>
        <v/>
      </c>
    </row>
    <row r="66" spans="1:13" x14ac:dyDescent="0.2">
      <c r="A66" s="52">
        <f t="shared" si="6"/>
        <v>57</v>
      </c>
      <c r="B66" s="40" t="str">
        <f>IF(Setup!$F$13&gt;A66,'Line 1'!B65+1,"")</f>
        <v/>
      </c>
      <c r="C66" s="54">
        <f t="shared" si="5"/>
        <v>58</v>
      </c>
      <c r="D66" s="55"/>
      <c r="E66" s="55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1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3" t="str">
        <f>IF(B66="","",IF(B66*2=Setup!$F$13,"midstation row!",""))</f>
        <v/>
      </c>
    </row>
    <row r="67" spans="1:13" x14ac:dyDescent="0.2">
      <c r="A67" s="52">
        <f t="shared" si="6"/>
        <v>58</v>
      </c>
      <c r="B67" s="40" t="str">
        <f>IF(Setup!$F$13&gt;A67,'Line 1'!B66+1,"")</f>
        <v/>
      </c>
      <c r="C67" s="54">
        <f t="shared" si="5"/>
        <v>59</v>
      </c>
      <c r="D67" s="55"/>
      <c r="E67" s="55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1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3" t="str">
        <f>IF(B67="","",IF(B67*2=Setup!$F$13,"midstation row!",""))</f>
        <v/>
      </c>
    </row>
    <row r="68" spans="1:13" x14ac:dyDescent="0.2">
      <c r="A68" s="52">
        <f t="shared" si="6"/>
        <v>59</v>
      </c>
      <c r="B68" s="40" t="str">
        <f>IF(Setup!$F$13&gt;A68,'Line 1'!B67+1,"")</f>
        <v/>
      </c>
      <c r="C68" s="54">
        <f t="shared" si="5"/>
        <v>60</v>
      </c>
      <c r="D68" s="55"/>
      <c r="E68" s="55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1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3" t="str">
        <f>IF(B68="","",IF(B68*2=Setup!$F$13,"midstation row!",""))</f>
        <v/>
      </c>
    </row>
    <row r="69" spans="1:13" x14ac:dyDescent="0.2">
      <c r="A69" s="52">
        <f t="shared" si="6"/>
        <v>60</v>
      </c>
      <c r="B69" s="40" t="str">
        <f>IF(Setup!$F$13&gt;A69,'Line 1'!B68+1,"")</f>
        <v/>
      </c>
      <c r="C69" s="54">
        <f t="shared" si="5"/>
        <v>61</v>
      </c>
      <c r="D69" s="55"/>
      <c r="E69" s="55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1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3" t="str">
        <f>IF(B69="","",IF(B69*2=Setup!$F$13,"midstation row!",""))</f>
        <v/>
      </c>
    </row>
    <row r="70" spans="1:13" x14ac:dyDescent="0.2">
      <c r="A70" s="52">
        <f t="shared" si="6"/>
        <v>61</v>
      </c>
      <c r="B70" s="40" t="str">
        <f>IF(Setup!$F$13&gt;A70,'Line 1'!B69+1,"")</f>
        <v/>
      </c>
      <c r="C70" s="54">
        <f t="shared" si="5"/>
        <v>62</v>
      </c>
      <c r="D70" s="55"/>
      <c r="E70" s="55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1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3" t="str">
        <f>IF(B70="","",IF(B70*2=Setup!$F$13,"midstation row!",""))</f>
        <v/>
      </c>
    </row>
    <row r="71" spans="1:13" x14ac:dyDescent="0.2">
      <c r="A71" s="52">
        <f t="shared" si="6"/>
        <v>62</v>
      </c>
      <c r="B71" s="40" t="str">
        <f>IF(Setup!$F$13&gt;A71,'Line 1'!B70+1,"")</f>
        <v/>
      </c>
      <c r="C71" s="54">
        <f t="shared" si="5"/>
        <v>63</v>
      </c>
      <c r="D71" s="55"/>
      <c r="E71" s="55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1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3" t="str">
        <f>IF(B71="","",IF(B71*2=Setup!$F$13,"midstation row!",""))</f>
        <v/>
      </c>
    </row>
    <row r="72" spans="1:13" x14ac:dyDescent="0.2">
      <c r="A72" s="52">
        <f t="shared" si="6"/>
        <v>63</v>
      </c>
      <c r="B72" s="40" t="str">
        <f>IF(Setup!$F$13&gt;A72,'Line 1'!B71+1,"")</f>
        <v/>
      </c>
      <c r="C72" s="54">
        <f t="shared" si="5"/>
        <v>64</v>
      </c>
      <c r="D72" s="55"/>
      <c r="E72" s="55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1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3" t="str">
        <f>IF(B72="","",IF(B72*2=Setup!$F$13,"midstation row!",""))</f>
        <v/>
      </c>
    </row>
    <row r="73" spans="1:13" x14ac:dyDescent="0.2">
      <c r="A73" s="52">
        <f t="shared" si="6"/>
        <v>64</v>
      </c>
      <c r="B73" s="40" t="str">
        <f>IF(Setup!$F$13&gt;A73,'Line 1'!B72+1,"")</f>
        <v/>
      </c>
      <c r="C73" s="54">
        <f t="shared" si="5"/>
        <v>65</v>
      </c>
      <c r="D73" s="55"/>
      <c r="E73" s="55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1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7">IF(B73="","",ROUND(J73*$N$7,0))</f>
        <v/>
      </c>
      <c r="M73" s="43" t="str">
        <f>IF(B73="","",IF(B73*2=Setup!$F$13,"midstation row!",""))</f>
        <v/>
      </c>
    </row>
    <row r="74" spans="1:13" x14ac:dyDescent="0.2">
      <c r="A74" s="52">
        <f t="shared" si="6"/>
        <v>65</v>
      </c>
      <c r="B74" s="40" t="str">
        <f>IF(Setup!$F$13&gt;A74,'Line 1'!B73+1,"")</f>
        <v/>
      </c>
      <c r="C74" s="54">
        <f t="shared" si="5"/>
        <v>66</v>
      </c>
      <c r="D74" s="55"/>
      <c r="E74" s="55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51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7"/>
        <v/>
      </c>
      <c r="M74" s="43" t="str">
        <f>IF(B74="","",IF(B74*2=Setup!$F$13,"midstation row!",""))</f>
        <v/>
      </c>
    </row>
    <row r="75" spans="1:13" x14ac:dyDescent="0.2">
      <c r="A75" s="52">
        <f t="shared" si="6"/>
        <v>66</v>
      </c>
      <c r="B75" s="40" t="str">
        <f>IF(Setup!$F$13&gt;A75,'Line 1'!B74+1,"")</f>
        <v/>
      </c>
      <c r="C75" s="54">
        <f t="shared" ref="C75:C108" si="11">C74+$C$9</f>
        <v>67</v>
      </c>
      <c r="D75" s="55"/>
      <c r="E75" s="55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51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7"/>
        <v/>
      </c>
      <c r="M75" s="43" t="str">
        <f>IF(B75="","",IF(B75*2=Setup!$F$13,"midstation row!",""))</f>
        <v/>
      </c>
    </row>
    <row r="76" spans="1:13" x14ac:dyDescent="0.2">
      <c r="A76" s="52">
        <f t="shared" ref="A76:A108" si="12">A75+1</f>
        <v>67</v>
      </c>
      <c r="B76" s="40" t="str">
        <f>IF(Setup!$F$13&gt;A76,'Line 1'!B75+1,"")</f>
        <v/>
      </c>
      <c r="C76" s="54">
        <f t="shared" si="11"/>
        <v>68</v>
      </c>
      <c r="D76" s="55"/>
      <c r="E76" s="55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51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7"/>
        <v/>
      </c>
      <c r="M76" s="43" t="str">
        <f>IF(B76="","",IF(B76*2=Setup!$F$13,"midstation row!",""))</f>
        <v/>
      </c>
    </row>
    <row r="77" spans="1:13" x14ac:dyDescent="0.2">
      <c r="A77" s="52">
        <f t="shared" si="12"/>
        <v>68</v>
      </c>
      <c r="B77" s="40" t="str">
        <f>IF(Setup!$F$13&gt;A77,'Line 1'!B76+1,"")</f>
        <v/>
      </c>
      <c r="C77" s="54">
        <f t="shared" si="11"/>
        <v>69</v>
      </c>
      <c r="D77" s="55"/>
      <c r="E77" s="55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1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3" t="str">
        <f>IF(B77="","",IF(B77*2=Setup!$F$13,"midstation row!",""))</f>
        <v/>
      </c>
    </row>
    <row r="78" spans="1:13" x14ac:dyDescent="0.2">
      <c r="A78" s="52">
        <f t="shared" si="12"/>
        <v>69</v>
      </c>
      <c r="B78" s="40" t="str">
        <f>IF(Setup!$F$13&gt;A78,'Line 1'!B77+1,"")</f>
        <v/>
      </c>
      <c r="C78" s="54">
        <f t="shared" si="11"/>
        <v>70</v>
      </c>
      <c r="D78" s="55"/>
      <c r="E78" s="55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1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3" t="str">
        <f>IF(B78="","",IF(B78*2=Setup!$F$13,"midstation row!",""))</f>
        <v/>
      </c>
    </row>
    <row r="79" spans="1:13" x14ac:dyDescent="0.2">
      <c r="A79" s="52">
        <f t="shared" si="12"/>
        <v>70</v>
      </c>
      <c r="B79" s="40" t="str">
        <f>IF(Setup!$F$13&gt;A79,'Line 1'!B78+1,"")</f>
        <v/>
      </c>
      <c r="C79" s="54">
        <f t="shared" si="11"/>
        <v>71</v>
      </c>
      <c r="D79" s="55"/>
      <c r="E79" s="55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1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3" t="str">
        <f>IF(B79="","",IF(B79*2=Setup!$F$13,"midstation row!",""))</f>
        <v/>
      </c>
    </row>
    <row r="80" spans="1:13" x14ac:dyDescent="0.2">
      <c r="A80" s="52">
        <f t="shared" si="12"/>
        <v>71</v>
      </c>
      <c r="B80" s="40" t="str">
        <f>IF(Setup!$F$13&gt;A80,'Line 1'!B79+1,"")</f>
        <v/>
      </c>
      <c r="C80" s="54">
        <f t="shared" si="11"/>
        <v>72</v>
      </c>
      <c r="D80" s="55"/>
      <c r="E80" s="55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1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3" t="str">
        <f>IF(B80="","",IF(B80*2=Setup!$F$13,"midstation row!",""))</f>
        <v/>
      </c>
    </row>
    <row r="81" spans="1:13" x14ac:dyDescent="0.2">
      <c r="A81" s="52">
        <f t="shared" si="12"/>
        <v>72</v>
      </c>
      <c r="B81" s="40" t="str">
        <f>IF(Setup!$F$13&gt;A81,'Line 1'!B80+1,"")</f>
        <v/>
      </c>
      <c r="C81" s="54">
        <f t="shared" si="11"/>
        <v>73</v>
      </c>
      <c r="D81" s="55"/>
      <c r="E81" s="55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1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3" t="str">
        <f>IF(B81="","",IF(B81*2=Setup!$F$13,"midstation row!",""))</f>
        <v/>
      </c>
    </row>
    <row r="82" spans="1:13" x14ac:dyDescent="0.2">
      <c r="A82" s="52">
        <f t="shared" si="12"/>
        <v>73</v>
      </c>
      <c r="B82" s="40" t="str">
        <f>IF(Setup!$F$13&gt;A82,'Line 1'!B81+1,"")</f>
        <v/>
      </c>
      <c r="C82" s="54">
        <f t="shared" si="11"/>
        <v>74</v>
      </c>
      <c r="D82" s="55"/>
      <c r="E82" s="55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1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3" t="str">
        <f>IF(B82="","",IF(B82*2=Setup!$F$13,"midstation row!",""))</f>
        <v/>
      </c>
    </row>
    <row r="83" spans="1:13" x14ac:dyDescent="0.2">
      <c r="A83" s="52">
        <f t="shared" si="12"/>
        <v>74</v>
      </c>
      <c r="B83" s="40" t="str">
        <f>IF(Setup!$F$13&gt;A83,'Line 1'!B82+1,"")</f>
        <v/>
      </c>
      <c r="C83" s="54">
        <f t="shared" si="11"/>
        <v>75</v>
      </c>
      <c r="D83" s="55"/>
      <c r="E83" s="55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1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3" t="str">
        <f>IF(B83="","",IF(B83*2=Setup!$F$13,"midstation row!",""))</f>
        <v/>
      </c>
    </row>
    <row r="84" spans="1:13" x14ac:dyDescent="0.2">
      <c r="A84" s="52">
        <f t="shared" si="12"/>
        <v>75</v>
      </c>
      <c r="B84" s="40" t="str">
        <f>IF(Setup!$F$13&gt;A84,'Line 1'!B83+1,"")</f>
        <v/>
      </c>
      <c r="C84" s="54">
        <f t="shared" si="11"/>
        <v>76</v>
      </c>
      <c r="D84" s="55"/>
      <c r="E84" s="55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1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3" t="str">
        <f>IF(B84="","",IF(B84*2=Setup!$F$13,"midstation row!",""))</f>
        <v/>
      </c>
    </row>
    <row r="85" spans="1:13" x14ac:dyDescent="0.2">
      <c r="A85" s="52">
        <f t="shared" si="12"/>
        <v>76</v>
      </c>
      <c r="B85" s="40" t="str">
        <f>IF(Setup!$F$13&gt;A85,'Line 1'!B84+1,"")</f>
        <v/>
      </c>
      <c r="C85" s="54">
        <f t="shared" si="11"/>
        <v>77</v>
      </c>
      <c r="D85" s="55"/>
      <c r="E85" s="55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1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3" t="str">
        <f>IF(B85="","",IF(B85*2=Setup!$F$13,"midstation row!",""))</f>
        <v/>
      </c>
    </row>
    <row r="86" spans="1:13" x14ac:dyDescent="0.2">
      <c r="A86" s="52">
        <f t="shared" si="12"/>
        <v>77</v>
      </c>
      <c r="B86" s="40" t="str">
        <f>IF(Setup!$F$13&gt;A86,'Line 1'!B85+1,"")</f>
        <v/>
      </c>
      <c r="C86" s="54">
        <f t="shared" si="11"/>
        <v>78</v>
      </c>
      <c r="D86" s="55"/>
      <c r="E86" s="55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1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3" t="str">
        <f>IF(B86="","",IF(B86*2=Setup!$F$13,"midstation row!",""))</f>
        <v/>
      </c>
    </row>
    <row r="87" spans="1:13" x14ac:dyDescent="0.2">
      <c r="A87" s="52">
        <f t="shared" si="12"/>
        <v>78</v>
      </c>
      <c r="B87" s="40" t="str">
        <f>IF(Setup!$F$13&gt;A87,'Line 1'!B86+1,"")</f>
        <v/>
      </c>
      <c r="C87" s="54">
        <f t="shared" si="11"/>
        <v>79</v>
      </c>
      <c r="D87" s="55"/>
      <c r="E87" s="55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1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3" t="str">
        <f>IF(B87="","",IF(B87*2=Setup!$F$13,"midstation row!",""))</f>
        <v/>
      </c>
    </row>
    <row r="88" spans="1:13" x14ac:dyDescent="0.2">
      <c r="A88" s="52">
        <f t="shared" si="12"/>
        <v>79</v>
      </c>
      <c r="B88" s="40" t="str">
        <f>IF(Setup!$F$13&gt;A88,'Line 1'!B87+1,"")</f>
        <v/>
      </c>
      <c r="C88" s="54">
        <f t="shared" si="11"/>
        <v>80</v>
      </c>
      <c r="D88" s="55"/>
      <c r="E88" s="55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1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3" t="str">
        <f>IF(B88="","",IF(B88*2=Setup!$F$13,"midstation row!",""))</f>
        <v/>
      </c>
    </row>
    <row r="89" spans="1:13" x14ac:dyDescent="0.2">
      <c r="A89" s="52">
        <f t="shared" si="12"/>
        <v>80</v>
      </c>
      <c r="B89" s="40" t="str">
        <f>IF(Setup!$F$13&gt;A89,'Line 1'!B88+1,"")</f>
        <v/>
      </c>
      <c r="C89" s="54">
        <f t="shared" si="11"/>
        <v>81</v>
      </c>
      <c r="D89" s="55"/>
      <c r="E89" s="55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1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3" t="str">
        <f>IF(B89="","",IF(B89*2=Setup!$F$13,"midstation row!",""))</f>
        <v/>
      </c>
    </row>
    <row r="90" spans="1:13" x14ac:dyDescent="0.2">
      <c r="A90" s="52">
        <f t="shared" si="12"/>
        <v>81</v>
      </c>
      <c r="B90" s="40" t="str">
        <f>IF(Setup!$F$13&gt;A90,'Line 1'!B89+1,"")</f>
        <v/>
      </c>
      <c r="C90" s="54">
        <f t="shared" si="11"/>
        <v>82</v>
      </c>
      <c r="D90" s="55"/>
      <c r="E90" s="55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1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3" t="str">
        <f>IF(B90="","",IF(B90*2=Setup!$F$13,"midstation row!",""))</f>
        <v/>
      </c>
    </row>
    <row r="91" spans="1:13" x14ac:dyDescent="0.2">
      <c r="A91" s="52">
        <f t="shared" si="12"/>
        <v>82</v>
      </c>
      <c r="B91" s="40" t="str">
        <f>IF(Setup!$F$13&gt;A91,'Line 1'!B90+1,"")</f>
        <v/>
      </c>
      <c r="C91" s="54">
        <f t="shared" si="11"/>
        <v>83</v>
      </c>
      <c r="D91" s="55"/>
      <c r="E91" s="55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1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3" t="str">
        <f>IF(B91="","",IF(B91*2=Setup!$F$13,"midstation row!",""))</f>
        <v/>
      </c>
    </row>
    <row r="92" spans="1:13" x14ac:dyDescent="0.2">
      <c r="A92" s="52">
        <f t="shared" si="12"/>
        <v>83</v>
      </c>
      <c r="B92" s="40" t="str">
        <f>IF(Setup!$F$13&gt;A92,'Line 1'!B91+1,"")</f>
        <v/>
      </c>
      <c r="C92" s="54">
        <f t="shared" si="11"/>
        <v>84</v>
      </c>
      <c r="D92" s="55"/>
      <c r="E92" s="55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1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3" t="str">
        <f>IF(B92="","",IF(B92*2=Setup!$F$13,"midstation row!",""))</f>
        <v/>
      </c>
    </row>
    <row r="93" spans="1:13" x14ac:dyDescent="0.2">
      <c r="A93" s="52">
        <f t="shared" si="12"/>
        <v>84</v>
      </c>
      <c r="B93" s="40" t="str">
        <f>IF(Setup!$F$13&gt;A93,'Line 1'!B92+1,"")</f>
        <v/>
      </c>
      <c r="C93" s="54">
        <f t="shared" si="11"/>
        <v>85</v>
      </c>
      <c r="D93" s="55"/>
      <c r="E93" s="55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1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3" t="str">
        <f>IF(B93="","",IF(B93*2=Setup!$F$13,"midstation row!",""))</f>
        <v/>
      </c>
    </row>
    <row r="94" spans="1:13" x14ac:dyDescent="0.2">
      <c r="A94" s="52">
        <f t="shared" si="12"/>
        <v>85</v>
      </c>
      <c r="B94" s="40" t="str">
        <f>IF(Setup!$F$13&gt;A94,'Line 1'!B93+1,"")</f>
        <v/>
      </c>
      <c r="C94" s="54">
        <f t="shared" si="11"/>
        <v>86</v>
      </c>
      <c r="D94" s="55"/>
      <c r="E94" s="55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1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3" t="str">
        <f>IF(B94="","",IF(B94*2=Setup!$F$13,"midstation row!",""))</f>
        <v/>
      </c>
    </row>
    <row r="95" spans="1:13" x14ac:dyDescent="0.2">
      <c r="A95" s="52">
        <f t="shared" si="12"/>
        <v>86</v>
      </c>
      <c r="B95" s="40" t="str">
        <f>IF(Setup!$F$13&gt;A95,'Line 1'!B94+1,"")</f>
        <v/>
      </c>
      <c r="C95" s="54">
        <f t="shared" si="11"/>
        <v>87</v>
      </c>
      <c r="D95" s="55"/>
      <c r="E95" s="55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1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3" t="str">
        <f>IF(B95="","",IF(B95*2=Setup!$F$13,"midstation row!",""))</f>
        <v/>
      </c>
    </row>
    <row r="96" spans="1:13" x14ac:dyDescent="0.2">
      <c r="A96" s="52">
        <f t="shared" si="12"/>
        <v>87</v>
      </c>
      <c r="B96" s="40" t="str">
        <f>IF(Setup!$F$13&gt;A96,'Line 1'!B95+1,"")</f>
        <v/>
      </c>
      <c r="C96" s="54">
        <f t="shared" si="11"/>
        <v>88</v>
      </c>
      <c r="D96" s="55"/>
      <c r="E96" s="55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1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3" t="str">
        <f>IF(B96="","",IF(B96*2=Setup!$F$13,"midstation row!",""))</f>
        <v/>
      </c>
    </row>
    <row r="97" spans="1:13" x14ac:dyDescent="0.2">
      <c r="A97" s="52">
        <f t="shared" si="12"/>
        <v>88</v>
      </c>
      <c r="B97" s="40" t="str">
        <f>IF(Setup!$F$13&gt;A97,'Line 1'!B96+1,"")</f>
        <v/>
      </c>
      <c r="C97" s="54">
        <f t="shared" si="11"/>
        <v>89</v>
      </c>
      <c r="D97" s="55"/>
      <c r="E97" s="55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1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3" t="str">
        <f>IF(B97="","",IF(B97*2=Setup!$F$13,"midstation row!",""))</f>
        <v/>
      </c>
    </row>
    <row r="98" spans="1:13" x14ac:dyDescent="0.2">
      <c r="A98" s="52">
        <f t="shared" si="12"/>
        <v>89</v>
      </c>
      <c r="B98" s="40" t="str">
        <f>IF(Setup!$F$13&gt;A98,'Line 1'!B97+1,"")</f>
        <v/>
      </c>
      <c r="C98" s="54">
        <f t="shared" si="11"/>
        <v>90</v>
      </c>
      <c r="D98" s="55"/>
      <c r="E98" s="55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1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3" t="str">
        <f>IF(B98="","",IF(B98*2=Setup!$F$13,"midstation row!",""))</f>
        <v/>
      </c>
    </row>
    <row r="99" spans="1:13" x14ac:dyDescent="0.2">
      <c r="A99" s="52">
        <f t="shared" si="12"/>
        <v>90</v>
      </c>
      <c r="B99" s="40" t="str">
        <f>IF(Setup!$F$13&gt;A99,'Line 1'!B98+1,"")</f>
        <v/>
      </c>
      <c r="C99" s="54">
        <f t="shared" si="11"/>
        <v>91</v>
      </c>
      <c r="D99" s="55"/>
      <c r="E99" s="55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1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3" t="str">
        <f>IF(B99="","",IF(B99*2=Setup!$F$13,"midstation row!",""))</f>
        <v/>
      </c>
    </row>
    <row r="100" spans="1:13" x14ac:dyDescent="0.2">
      <c r="A100" s="52">
        <f t="shared" si="12"/>
        <v>91</v>
      </c>
      <c r="B100" s="40" t="str">
        <f>IF(Setup!$F$13&gt;A100,'Line 1'!B99+1,"")</f>
        <v/>
      </c>
      <c r="C100" s="54">
        <f t="shared" si="11"/>
        <v>92</v>
      </c>
      <c r="D100" s="55"/>
      <c r="E100" s="55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1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3" t="str">
        <f>IF(B100="","",IF(B100*2=Setup!$F$13,"midstation row!",""))</f>
        <v/>
      </c>
    </row>
    <row r="101" spans="1:13" x14ac:dyDescent="0.2">
      <c r="A101" s="52">
        <f t="shared" si="12"/>
        <v>92</v>
      </c>
      <c r="B101" s="40" t="str">
        <f>IF(Setup!$F$13&gt;A101,'Line 1'!B100+1,"")</f>
        <v/>
      </c>
      <c r="C101" s="54">
        <f t="shared" si="11"/>
        <v>93</v>
      </c>
      <c r="D101" s="55"/>
      <c r="E101" s="55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1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3" t="str">
        <f>IF(B101="","",IF(B101*2=Setup!$F$13,"midstation row!",""))</f>
        <v/>
      </c>
    </row>
    <row r="102" spans="1:13" x14ac:dyDescent="0.2">
      <c r="A102" s="52">
        <f t="shared" si="12"/>
        <v>93</v>
      </c>
      <c r="B102" s="40" t="str">
        <f>IF(Setup!$F$13&gt;A102,'Line 1'!B101+1,"")</f>
        <v/>
      </c>
      <c r="C102" s="54">
        <f t="shared" si="11"/>
        <v>94</v>
      </c>
      <c r="D102" s="55"/>
      <c r="E102" s="55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1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3" t="str">
        <f>IF(B102="","",IF(B102*2=Setup!$F$13,"midstation row!",""))</f>
        <v/>
      </c>
    </row>
    <row r="103" spans="1:13" x14ac:dyDescent="0.2">
      <c r="A103" s="52">
        <f t="shared" si="12"/>
        <v>94</v>
      </c>
      <c r="B103" s="40" t="str">
        <f>IF(Setup!$F$13&gt;A103,'Line 1'!B102+1,"")</f>
        <v/>
      </c>
      <c r="C103" s="54">
        <f t="shared" si="11"/>
        <v>95</v>
      </c>
      <c r="D103" s="55"/>
      <c r="E103" s="55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1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3" t="str">
        <f>IF(B103="","",IF(B103*2=Setup!$F$13,"midstation row!",""))</f>
        <v/>
      </c>
    </row>
    <row r="104" spans="1:13" x14ac:dyDescent="0.2">
      <c r="A104" s="52">
        <f t="shared" si="12"/>
        <v>95</v>
      </c>
      <c r="B104" s="40" t="str">
        <f>IF(Setup!$F$13&gt;A104,'Line 1'!B103+1,"")</f>
        <v/>
      </c>
      <c r="C104" s="54">
        <f t="shared" si="11"/>
        <v>96</v>
      </c>
      <c r="D104" s="55"/>
      <c r="E104" s="55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1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3" t="str">
        <f>IF(B104="","",IF(B104*2=Setup!$F$13,"midstation row!",""))</f>
        <v/>
      </c>
    </row>
    <row r="105" spans="1:13" x14ac:dyDescent="0.2">
      <c r="A105" s="52">
        <f t="shared" si="12"/>
        <v>96</v>
      </c>
      <c r="B105" s="40" t="str">
        <f>IF(Setup!$F$13&gt;A105,'Line 1'!B104+1,"")</f>
        <v/>
      </c>
      <c r="C105" s="54">
        <f t="shared" si="11"/>
        <v>97</v>
      </c>
      <c r="D105" s="55"/>
      <c r="E105" s="55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1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3" t="str">
        <f>IF(B105="","",IF(B105*2=Setup!$F$13,"midstation row!",""))</f>
        <v/>
      </c>
    </row>
    <row r="106" spans="1:13" x14ac:dyDescent="0.2">
      <c r="A106" s="52">
        <f t="shared" si="12"/>
        <v>97</v>
      </c>
      <c r="B106" s="40" t="str">
        <f>IF(Setup!$F$13&gt;A106,'Line 1'!B105+1,"")</f>
        <v/>
      </c>
      <c r="C106" s="54">
        <f t="shared" si="11"/>
        <v>98</v>
      </c>
      <c r="D106" s="55"/>
      <c r="E106" s="55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1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3" t="str">
        <f>IF(B106="","",IF(B106*2=Setup!$F$13,"midstation row!",""))</f>
        <v/>
      </c>
    </row>
    <row r="107" spans="1:13" x14ac:dyDescent="0.2">
      <c r="A107" s="52">
        <f t="shared" si="12"/>
        <v>98</v>
      </c>
      <c r="B107" s="40" t="str">
        <f>IF(Setup!$F$13&gt;A107,'Line 1'!B106+1,"")</f>
        <v/>
      </c>
      <c r="C107" s="54">
        <f t="shared" si="11"/>
        <v>99</v>
      </c>
      <c r="D107" s="55"/>
      <c r="E107" s="55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1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3" t="str">
        <f>IF(B107="","",IF(B107*2=Setup!$F$13,"midstation row!",""))</f>
        <v/>
      </c>
    </row>
    <row r="108" spans="1:13" x14ac:dyDescent="0.2">
      <c r="A108" s="52">
        <f t="shared" si="12"/>
        <v>99</v>
      </c>
      <c r="B108" s="40" t="str">
        <f>IF(Setup!$F$13&gt;A108,'Line 1'!B107+1,"")</f>
        <v/>
      </c>
      <c r="C108" s="54">
        <f t="shared" si="11"/>
        <v>100</v>
      </c>
      <c r="D108" s="55"/>
      <c r="E108" s="55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1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3" t="str">
        <f>IF(B108="","",IF(B108*2=Setup!$F$13,"midstation row!",""))</f>
        <v/>
      </c>
    </row>
    <row r="109" spans="1:13" hidden="1" x14ac:dyDescent="0.2">
      <c r="I109" s="51"/>
      <c r="J109" s="22"/>
    </row>
    <row r="110" spans="1:13" hidden="1" x14ac:dyDescent="0.2">
      <c r="I110" s="51"/>
    </row>
    <row r="111" spans="1:13" hidden="1" x14ac:dyDescent="0.2">
      <c r="I111" s="51"/>
    </row>
    <row r="112" spans="1:13" hidden="1" x14ac:dyDescent="0.2">
      <c r="I112" s="51"/>
    </row>
    <row r="113" spans="9:9" hidden="1" x14ac:dyDescent="0.2">
      <c r="I113" s="51"/>
    </row>
    <row r="114" spans="9:9" hidden="1" x14ac:dyDescent="0.2">
      <c r="I114" s="51"/>
    </row>
    <row r="115" spans="9:9" hidden="1" x14ac:dyDescent="0.2">
      <c r="I115" s="51"/>
    </row>
    <row r="116" spans="9:9" hidden="1" x14ac:dyDescent="0.2">
      <c r="I116" s="51"/>
    </row>
    <row r="117" spans="9:9" hidden="1" x14ac:dyDescent="0.2">
      <c r="I117" s="51"/>
    </row>
    <row r="118" spans="9:9" hidden="1" x14ac:dyDescent="0.2">
      <c r="I118" s="51"/>
    </row>
    <row r="119" spans="9:9" hidden="1" x14ac:dyDescent="0.2">
      <c r="I119" s="51"/>
    </row>
    <row r="120" spans="9:9" hidden="1" x14ac:dyDescent="0.2">
      <c r="I120" s="51"/>
    </row>
    <row r="121" spans="9:9" hidden="1" x14ac:dyDescent="0.2">
      <c r="I121" s="51"/>
    </row>
    <row r="122" spans="9:9" hidden="1" x14ac:dyDescent="0.2">
      <c r="I122" s="51"/>
    </row>
    <row r="123" spans="9:9" hidden="1" x14ac:dyDescent="0.2">
      <c r="I123" s="51"/>
    </row>
    <row r="124" spans="9:9" hidden="1" x14ac:dyDescent="0.2">
      <c r="I124" s="51"/>
    </row>
    <row r="125" spans="9:9" hidden="1" x14ac:dyDescent="0.2">
      <c r="I125" s="51"/>
    </row>
    <row r="126" spans="9:9" hidden="1" x14ac:dyDescent="0.2">
      <c r="I126" s="51"/>
    </row>
    <row r="127" spans="9:9" hidden="1" x14ac:dyDescent="0.2">
      <c r="I127" s="51"/>
    </row>
    <row r="128" spans="9:9" hidden="1" x14ac:dyDescent="0.2">
      <c r="I128" s="51"/>
    </row>
    <row r="129" spans="9:9" hidden="1" x14ac:dyDescent="0.2">
      <c r="I129" s="51"/>
    </row>
    <row r="130" spans="9:9" hidden="1" x14ac:dyDescent="0.2">
      <c r="I130" s="51"/>
    </row>
    <row r="131" spans="9:9" hidden="1" x14ac:dyDescent="0.2">
      <c r="I131" s="51"/>
    </row>
    <row r="132" spans="9:9" hidden="1" x14ac:dyDescent="0.2">
      <c r="I132" s="51"/>
    </row>
    <row r="133" spans="9:9" hidden="1" x14ac:dyDescent="0.2">
      <c r="I133" s="51"/>
    </row>
    <row r="134" spans="9:9" hidden="1" x14ac:dyDescent="0.2">
      <c r="I134" s="51"/>
    </row>
    <row r="135" spans="9:9" hidden="1" x14ac:dyDescent="0.2">
      <c r="I135" s="51"/>
    </row>
    <row r="136" spans="9:9" hidden="1" x14ac:dyDescent="0.2">
      <c r="I136" s="51"/>
    </row>
    <row r="137" spans="9:9" hidden="1" x14ac:dyDescent="0.2">
      <c r="I137" s="51"/>
    </row>
    <row r="138" spans="9:9" hidden="1" x14ac:dyDescent="0.2">
      <c r="I138" s="51"/>
    </row>
    <row r="139" spans="9:9" hidden="1" x14ac:dyDescent="0.2">
      <c r="I139" s="51"/>
    </row>
    <row r="140" spans="9:9" hidden="1" x14ac:dyDescent="0.2">
      <c r="I140" s="51"/>
    </row>
    <row r="141" spans="9:9" hidden="1" x14ac:dyDescent="0.2">
      <c r="I141" s="51"/>
    </row>
    <row r="142" spans="9:9" hidden="1" x14ac:dyDescent="0.2">
      <c r="I142" s="51"/>
    </row>
    <row r="143" spans="9:9" hidden="1" x14ac:dyDescent="0.2">
      <c r="I143" s="51"/>
    </row>
    <row r="144" spans="9:9" hidden="1" x14ac:dyDescent="0.2">
      <c r="I144" s="51"/>
    </row>
    <row r="145" spans="9:9" hidden="1" x14ac:dyDescent="0.2">
      <c r="I145" s="51"/>
    </row>
    <row r="146" spans="9:9" hidden="1" x14ac:dyDescent="0.2">
      <c r="I146" s="51"/>
    </row>
    <row r="147" spans="9:9" hidden="1" x14ac:dyDescent="0.2">
      <c r="I147" s="51"/>
    </row>
    <row r="148" spans="9:9" hidden="1" x14ac:dyDescent="0.2">
      <c r="I148" s="51"/>
    </row>
    <row r="149" spans="9:9" hidden="1" x14ac:dyDescent="0.2">
      <c r="I149" s="51"/>
    </row>
    <row r="150" spans="9:9" hidden="1" x14ac:dyDescent="0.2">
      <c r="I150" s="51"/>
    </row>
    <row r="151" spans="9:9" hidden="1" x14ac:dyDescent="0.2">
      <c r="I151" s="51"/>
    </row>
    <row r="152" spans="9:9" hidden="1" x14ac:dyDescent="0.2">
      <c r="I152" s="51"/>
    </row>
    <row r="153" spans="9:9" hidden="1" x14ac:dyDescent="0.2">
      <c r="I153" s="51"/>
    </row>
    <row r="154" spans="9:9" hidden="1" x14ac:dyDescent="0.2">
      <c r="I154" s="51"/>
    </row>
    <row r="155" spans="9:9" hidden="1" x14ac:dyDescent="0.2">
      <c r="I155" s="51"/>
    </row>
    <row r="156" spans="9:9" hidden="1" x14ac:dyDescent="0.2">
      <c r="I156" s="51"/>
    </row>
    <row r="157" spans="9:9" hidden="1" x14ac:dyDescent="0.2">
      <c r="I157" s="51"/>
    </row>
    <row r="158" spans="9:9" hidden="1" x14ac:dyDescent="0.2">
      <c r="I158" s="51"/>
    </row>
    <row r="159" spans="9:9" hidden="1" x14ac:dyDescent="0.2">
      <c r="I159" s="51"/>
    </row>
    <row r="160" spans="9:9" hidden="1" x14ac:dyDescent="0.2">
      <c r="I160" s="51"/>
    </row>
    <row r="161" spans="9:9" hidden="1" x14ac:dyDescent="0.2">
      <c r="I161" s="51"/>
    </row>
    <row r="162" spans="9:9" hidden="1" x14ac:dyDescent="0.2">
      <c r="I162" s="51"/>
    </row>
    <row r="163" spans="9:9" hidden="1" x14ac:dyDescent="0.2">
      <c r="I163" s="51"/>
    </row>
    <row r="164" spans="9:9" hidden="1" x14ac:dyDescent="0.2">
      <c r="I164" s="51"/>
    </row>
    <row r="165" spans="9:9" hidden="1" x14ac:dyDescent="0.2">
      <c r="I165" s="51"/>
    </row>
    <row r="166" spans="9:9" hidden="1" x14ac:dyDescent="0.2">
      <c r="I166" s="51"/>
    </row>
    <row r="167" spans="9:9" hidden="1" x14ac:dyDescent="0.2">
      <c r="I167" s="51"/>
    </row>
    <row r="168" spans="9:9" hidden="1" x14ac:dyDescent="0.2">
      <c r="I168" s="51"/>
    </row>
    <row r="169" spans="9:9" hidden="1" x14ac:dyDescent="0.2">
      <c r="I169" s="51"/>
    </row>
    <row r="170" spans="9:9" hidden="1" x14ac:dyDescent="0.2">
      <c r="I170" s="51"/>
    </row>
    <row r="171" spans="9:9" hidden="1" x14ac:dyDescent="0.2">
      <c r="I171" s="51"/>
    </row>
    <row r="172" spans="9:9" hidden="1" x14ac:dyDescent="0.2">
      <c r="I172" s="51"/>
    </row>
    <row r="173" spans="9:9" hidden="1" x14ac:dyDescent="0.2">
      <c r="I173" s="51"/>
    </row>
    <row r="174" spans="9:9" hidden="1" x14ac:dyDescent="0.2">
      <c r="I174" s="51"/>
    </row>
    <row r="175" spans="9:9" hidden="1" x14ac:dyDescent="0.2">
      <c r="I175" s="51"/>
    </row>
    <row r="176" spans="9:9" hidden="1" x14ac:dyDescent="0.2">
      <c r="I176" s="51"/>
    </row>
    <row r="177" spans="9:9" hidden="1" x14ac:dyDescent="0.2">
      <c r="I177" s="51"/>
    </row>
    <row r="178" spans="9:9" hidden="1" x14ac:dyDescent="0.2">
      <c r="I178" s="51"/>
    </row>
    <row r="179" spans="9:9" hidden="1" x14ac:dyDescent="0.2">
      <c r="I179" s="51"/>
    </row>
    <row r="180" spans="9:9" hidden="1" x14ac:dyDescent="0.2">
      <c r="I180" s="51"/>
    </row>
    <row r="181" spans="9:9" hidden="1" x14ac:dyDescent="0.2">
      <c r="I181" s="51"/>
    </row>
    <row r="182" spans="9:9" hidden="1" x14ac:dyDescent="0.2">
      <c r="I182" s="51"/>
    </row>
    <row r="183" spans="9:9" hidden="1" x14ac:dyDescent="0.2">
      <c r="I183" s="51"/>
    </row>
    <row r="184" spans="9:9" hidden="1" x14ac:dyDescent="0.2">
      <c r="I184" s="51"/>
    </row>
    <row r="185" spans="9:9" hidden="1" x14ac:dyDescent="0.2">
      <c r="I185" s="51"/>
    </row>
    <row r="186" spans="9:9" hidden="1" x14ac:dyDescent="0.2">
      <c r="I186" s="51"/>
    </row>
    <row r="187" spans="9:9" hidden="1" x14ac:dyDescent="0.2">
      <c r="I187" s="51"/>
    </row>
    <row r="188" spans="9:9" hidden="1" x14ac:dyDescent="0.2">
      <c r="I188" s="51"/>
    </row>
    <row r="189" spans="9:9" hidden="1" x14ac:dyDescent="0.2">
      <c r="I189" s="51"/>
    </row>
    <row r="190" spans="9:9" hidden="1" x14ac:dyDescent="0.2">
      <c r="I190" s="51"/>
    </row>
    <row r="191" spans="9:9" hidden="1" x14ac:dyDescent="0.2">
      <c r="I191" s="51"/>
    </row>
    <row r="192" spans="9:9" hidden="1" x14ac:dyDescent="0.2">
      <c r="I192" s="51"/>
    </row>
    <row r="193" spans="9:9" hidden="1" x14ac:dyDescent="0.2">
      <c r="I193" s="51"/>
    </row>
    <row r="194" spans="9:9" hidden="1" x14ac:dyDescent="0.2">
      <c r="I194" s="51"/>
    </row>
    <row r="195" spans="9:9" hidden="1" x14ac:dyDescent="0.2">
      <c r="I195" s="51"/>
    </row>
    <row r="196" spans="9:9" hidden="1" x14ac:dyDescent="0.2">
      <c r="I196" s="51"/>
    </row>
    <row r="197" spans="9:9" hidden="1" x14ac:dyDescent="0.2">
      <c r="I197" s="51"/>
    </row>
    <row r="198" spans="9:9" hidden="1" x14ac:dyDescent="0.2">
      <c r="I198" s="51"/>
    </row>
    <row r="199" spans="9:9" hidden="1" x14ac:dyDescent="0.2">
      <c r="I199" s="51"/>
    </row>
  </sheetData>
  <sheetProtection sheet="1" selectLockedCells="1"/>
  <conditionalFormatting sqref="M10:M108">
    <cfRule type="cellIs" dxfId="60" priority="11" operator="equal">
      <formula>""</formula>
    </cfRule>
    <cfRule type="cellIs" dxfId="59" priority="12" operator="equal">
      <formula>"Midstation Row!"</formula>
    </cfRule>
  </conditionalFormatting>
  <conditionalFormatting sqref="L10:M28 L32:M108 J1:K3 B10:B108 M11:M108 F10:I30 F31:H108 I31:I199">
    <cfRule type="cellIs" dxfId="58" priority="10" operator="equal">
      <formula>""</formula>
    </cfRule>
  </conditionalFormatting>
  <conditionalFormatting sqref="J10:K109">
    <cfRule type="cellIs" dxfId="57" priority="9" operator="equal">
      <formula>""</formula>
    </cfRule>
  </conditionalFormatting>
  <conditionalFormatting sqref="D9:E9">
    <cfRule type="expression" dxfId="56" priority="8">
      <formula>$B9=""</formula>
    </cfRule>
  </conditionalFormatting>
  <conditionalFormatting sqref="D10:E108">
    <cfRule type="expression" dxfId="55" priority="7">
      <formula>$B10=""</formula>
    </cfRule>
  </conditionalFormatting>
  <conditionalFormatting sqref="I10">
    <cfRule type="expression" dxfId="54" priority="6">
      <formula>$M10="Midstation Row!"</formula>
    </cfRule>
  </conditionalFormatting>
  <conditionalFormatting sqref="I10:I199">
    <cfRule type="expression" dxfId="53" priority="5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2">
        <f>MAX(B:B)</f>
        <v>16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</row>
    <row r="2" spans="1:14" ht="15.75" x14ac:dyDescent="0.25">
      <c r="A2" s="52"/>
      <c r="B2" s="1" t="str">
        <f>Setup!F8&amp;"""x"&amp;Setup!F9&amp;""" Plate, "&amp;Setup!F11&amp;""" Foot Pad Distance"</f>
        <v>72"x144" Plate, 4" Foot Pad Distance</v>
      </c>
      <c r="J2" s="156">
        <f>MAX(K:K)</f>
        <v>3610</v>
      </c>
      <c r="K2" s="157" t="s">
        <v>5</v>
      </c>
    </row>
    <row r="3" spans="1:14" x14ac:dyDescent="0.2">
      <c r="A3" s="52"/>
      <c r="J3" s="156">
        <f>ABS(J1-J2)</f>
        <v>3601</v>
      </c>
      <c r="K3" s="157" t="s">
        <v>6</v>
      </c>
    </row>
    <row r="4" spans="1:14" ht="18.75" thickBot="1" x14ac:dyDescent="0.3">
      <c r="A4" s="52"/>
      <c r="G4" s="2" t="s">
        <v>60</v>
      </c>
    </row>
    <row r="5" spans="1:14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-7.5</v>
      </c>
    </row>
    <row r="6" spans="1:14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</row>
    <row r="7" spans="1:14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</row>
    <row r="8" spans="1:14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180.5</v>
      </c>
      <c r="J8" s="22">
        <f>IF(B8="","",I8+H8)</f>
        <v>180.5</v>
      </c>
      <c r="K8" s="47">
        <f>IF(B8="","",ROUND(J8*$N$7,0))</f>
        <v>3610</v>
      </c>
      <c r="L8" s="50"/>
      <c r="N8" s="24"/>
    </row>
    <row r="9" spans="1:14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173</v>
      </c>
      <c r="J9" s="22">
        <f>IF(B9="","",I9+H9)</f>
        <v>173</v>
      </c>
      <c r="K9" s="47">
        <f t="shared" ref="K9:K72" si="0">IF(B9="","",ROUND(J9*$N$7,0))</f>
        <v>3460</v>
      </c>
      <c r="L9" s="50"/>
    </row>
    <row r="10" spans="1:14" x14ac:dyDescent="0.2">
      <c r="A10" s="52">
        <v>1</v>
      </c>
      <c r="B10" s="40">
        <f>IF(Setup!$F$12&gt;A10,B9+1,"")</f>
        <v>2</v>
      </c>
      <c r="C10" s="54">
        <f>C9+$C$9</f>
        <v>2</v>
      </c>
      <c r="D10" s="55"/>
      <c r="E10" s="55"/>
      <c r="F10" s="25">
        <f t="shared" ref="F10:F73" si="1">IF(B10="","",AVERAGE(C10:E10))</f>
        <v>2</v>
      </c>
      <c r="G10" s="21">
        <f t="shared" ref="G10:G73" si="2">IF(B10="","",F10-$F$9)</f>
        <v>1</v>
      </c>
      <c r="H10" s="25">
        <f t="shared" ref="H10:H73" si="3">IF(B10="","",H9+G10)</f>
        <v>1</v>
      </c>
      <c r="I10" s="51">
        <f>IF(B10="","",IF(B10=Setup!$F$12,J10-H10,I11-$N$5))</f>
        <v>165.5</v>
      </c>
      <c r="J10" s="22">
        <f>IF(B10="","",IF(B10=Setup!$F$12,INDEX('Line 2'!J:J,MATCH(MAX('Line 2'!B:B),'Line 2'!B:B)),I10+H10))</f>
        <v>166.5</v>
      </c>
      <c r="K10" s="23">
        <f t="shared" si="0"/>
        <v>3330</v>
      </c>
      <c r="L10" s="48"/>
      <c r="M10" s="43" t="str">
        <f>IF(B10="","",IF(B10*2=Setup!$F$12,"midstation row!",""))</f>
        <v/>
      </c>
    </row>
    <row r="11" spans="1:14" x14ac:dyDescent="0.2">
      <c r="A11" s="52">
        <f>A10+1</f>
        <v>2</v>
      </c>
      <c r="B11" s="40">
        <f>IF(Setup!$F$12&gt;A11,B10+1,"")</f>
        <v>3</v>
      </c>
      <c r="C11" s="54">
        <f t="shared" ref="C11:C74" si="4">C10+$C$9</f>
        <v>3</v>
      </c>
      <c r="D11" s="55"/>
      <c r="E11" s="55"/>
      <c r="F11" s="25">
        <f t="shared" si="1"/>
        <v>3</v>
      </c>
      <c r="G11" s="21">
        <f t="shared" si="2"/>
        <v>2</v>
      </c>
      <c r="H11" s="25">
        <f t="shared" si="3"/>
        <v>3</v>
      </c>
      <c r="I11" s="51">
        <f>IF(B11="","",IF(B11=Setup!$F$12,J11-H11,I12-$N$5))</f>
        <v>158</v>
      </c>
      <c r="J11" s="22">
        <f>IF(B11="","",IF(B11=Setup!$F$12,INDEX('Line 2'!J:J,MATCH(MAX('Line 2'!B:B),'Line 2'!B:B)),I11+H11))</f>
        <v>161</v>
      </c>
      <c r="K11" s="23">
        <f t="shared" si="0"/>
        <v>3220</v>
      </c>
      <c r="L11" s="42"/>
      <c r="M11" s="43" t="str">
        <f>IF(B11="","",IF(B11*2=Setup!$F$12,"midstation row!",""))</f>
        <v/>
      </c>
    </row>
    <row r="12" spans="1:14" x14ac:dyDescent="0.2">
      <c r="A12" s="52">
        <f t="shared" ref="A12:A75" si="5">A11+1</f>
        <v>3</v>
      </c>
      <c r="B12" s="40">
        <f>IF(Setup!$F$12&gt;A12,B11+1,"")</f>
        <v>4</v>
      </c>
      <c r="C12" s="54">
        <f t="shared" si="4"/>
        <v>4</v>
      </c>
      <c r="D12" s="55"/>
      <c r="E12" s="55"/>
      <c r="F12" s="25">
        <f t="shared" si="1"/>
        <v>4</v>
      </c>
      <c r="G12" s="21">
        <f t="shared" si="2"/>
        <v>3</v>
      </c>
      <c r="H12" s="25">
        <f t="shared" si="3"/>
        <v>6</v>
      </c>
      <c r="I12" s="51">
        <f>IF(B12="","",IF(B12=Setup!$F$12,J12-H12,I13-$N$5))</f>
        <v>150.5</v>
      </c>
      <c r="J12" s="22">
        <f>IF(B12="","",IF(B12=Setup!$F$12,INDEX('Line 2'!J:J,MATCH(MAX('Line 2'!B:B),'Line 2'!B:B)),I12+H12))</f>
        <v>156.5</v>
      </c>
      <c r="K12" s="23">
        <f t="shared" si="0"/>
        <v>3130</v>
      </c>
      <c r="L12" s="42"/>
      <c r="M12" s="43" t="str">
        <f>IF(B12="","",IF(B12*2=Setup!$F$12,"midstation row!",""))</f>
        <v/>
      </c>
    </row>
    <row r="13" spans="1:14" x14ac:dyDescent="0.2">
      <c r="A13" s="52">
        <f t="shared" si="5"/>
        <v>4</v>
      </c>
      <c r="B13" s="40">
        <f>IF(Setup!$F$12&gt;A13,B12+1,"")</f>
        <v>5</v>
      </c>
      <c r="C13" s="54">
        <f t="shared" si="4"/>
        <v>5</v>
      </c>
      <c r="D13" s="55"/>
      <c r="E13" s="55"/>
      <c r="F13" s="25">
        <f t="shared" si="1"/>
        <v>5</v>
      </c>
      <c r="G13" s="21">
        <f t="shared" si="2"/>
        <v>4</v>
      </c>
      <c r="H13" s="25">
        <f t="shared" si="3"/>
        <v>10</v>
      </c>
      <c r="I13" s="51">
        <f>IF(B13="","",IF(B13=Setup!$F$12,J13-H13,I14-$N$5))</f>
        <v>143</v>
      </c>
      <c r="J13" s="22">
        <f>IF(B13="","",IF(B13=Setup!$F$12,INDEX('Line 2'!J:J,MATCH(MAX('Line 2'!B:B),'Line 2'!B:B)),I13+H13))</f>
        <v>153</v>
      </c>
      <c r="K13" s="23">
        <f t="shared" si="0"/>
        <v>3060</v>
      </c>
      <c r="L13" s="42"/>
      <c r="M13" s="43" t="str">
        <f>IF(B13="","",IF(B13*2=Setup!$F$12,"midstation row!",""))</f>
        <v/>
      </c>
    </row>
    <row r="14" spans="1:14" x14ac:dyDescent="0.2">
      <c r="A14" s="52">
        <f t="shared" si="5"/>
        <v>5</v>
      </c>
      <c r="B14" s="40">
        <f>IF(Setup!$F$12&gt;A14,B13+1,"")</f>
        <v>6</v>
      </c>
      <c r="C14" s="54">
        <f t="shared" si="4"/>
        <v>6</v>
      </c>
      <c r="D14" s="55"/>
      <c r="E14" s="55"/>
      <c r="F14" s="25">
        <f t="shared" si="1"/>
        <v>6</v>
      </c>
      <c r="G14" s="21">
        <f t="shared" si="2"/>
        <v>5</v>
      </c>
      <c r="H14" s="25">
        <f t="shared" si="3"/>
        <v>15</v>
      </c>
      <c r="I14" s="51">
        <f>IF(B14="","",IF(B14=Setup!$F$12,J14-H14,I15-$N$5))</f>
        <v>135.5</v>
      </c>
      <c r="J14" s="22">
        <f>IF(B14="","",IF(B14=Setup!$F$12,INDEX('Line 2'!J:J,MATCH(MAX('Line 2'!B:B),'Line 2'!B:B)),I14+H14))</f>
        <v>150.5</v>
      </c>
      <c r="K14" s="23">
        <f t="shared" si="0"/>
        <v>3010</v>
      </c>
      <c r="L14" s="42"/>
      <c r="M14" s="43" t="str">
        <f>IF(B14="","",IF(B14*2=Setup!$F$12,"midstation row!",""))</f>
        <v/>
      </c>
    </row>
    <row r="15" spans="1:14" x14ac:dyDescent="0.2">
      <c r="A15" s="52">
        <f t="shared" si="5"/>
        <v>6</v>
      </c>
      <c r="B15" s="40">
        <f>IF(Setup!$F$12&gt;A15,B14+1,"")</f>
        <v>7</v>
      </c>
      <c r="C15" s="54">
        <f t="shared" si="4"/>
        <v>7</v>
      </c>
      <c r="D15" s="55"/>
      <c r="E15" s="55"/>
      <c r="F15" s="25">
        <f t="shared" si="1"/>
        <v>7</v>
      </c>
      <c r="G15" s="21">
        <f t="shared" si="2"/>
        <v>6</v>
      </c>
      <c r="H15" s="25">
        <f t="shared" si="3"/>
        <v>21</v>
      </c>
      <c r="I15" s="51">
        <f>IF(B15="","",IF(B15=Setup!$F$12,J15-H15,I16-$N$5))</f>
        <v>128</v>
      </c>
      <c r="J15" s="22">
        <f>IF(B15="","",IF(B15=Setup!$F$12,INDEX('Line 2'!J:J,MATCH(MAX('Line 2'!B:B),'Line 2'!B:B)),I15+H15))</f>
        <v>149</v>
      </c>
      <c r="K15" s="23">
        <f t="shared" si="0"/>
        <v>2980</v>
      </c>
      <c r="L15" s="42"/>
      <c r="M15" s="43" t="str">
        <f>IF(B15="","",IF(B15*2=Setup!$F$12,"midstation row!",""))</f>
        <v/>
      </c>
    </row>
    <row r="16" spans="1:14" x14ac:dyDescent="0.2">
      <c r="A16" s="52">
        <f t="shared" si="5"/>
        <v>7</v>
      </c>
      <c r="B16" s="40">
        <f>IF(Setup!$F$12&gt;A16,B15+1,"")</f>
        <v>8</v>
      </c>
      <c r="C16" s="54">
        <f t="shared" si="4"/>
        <v>8</v>
      </c>
      <c r="D16" s="55"/>
      <c r="E16" s="55"/>
      <c r="F16" s="25">
        <f t="shared" si="1"/>
        <v>8</v>
      </c>
      <c r="G16" s="21">
        <f t="shared" si="2"/>
        <v>7</v>
      </c>
      <c r="H16" s="25">
        <f t="shared" si="3"/>
        <v>28</v>
      </c>
      <c r="I16" s="51">
        <f>IF(B16="","",IF(B16=Setup!$F$12,J16-H16,I17-$N$5))</f>
        <v>120.5</v>
      </c>
      <c r="J16" s="22">
        <f>IF(B16="","",IF(B16=Setup!$F$12,INDEX('Line 2'!J:J,MATCH(MAX('Line 2'!B:B),'Line 2'!B:B)),I16+H16))</f>
        <v>148.5</v>
      </c>
      <c r="K16" s="23">
        <f t="shared" si="0"/>
        <v>2970</v>
      </c>
      <c r="L16" s="42"/>
      <c r="M16" s="43" t="str">
        <f>IF(B16="","",IF(B16*2=Setup!$F$12,"midstation row!",""))</f>
        <v>midstation row!</v>
      </c>
    </row>
    <row r="17" spans="1:14" x14ac:dyDescent="0.2">
      <c r="A17" s="52">
        <f t="shared" si="5"/>
        <v>8</v>
      </c>
      <c r="B17" s="40">
        <f>IF(Setup!$F$12&gt;A17,B16+1,"")</f>
        <v>9</v>
      </c>
      <c r="C17" s="54">
        <f t="shared" si="4"/>
        <v>9</v>
      </c>
      <c r="D17" s="55"/>
      <c r="E17" s="55"/>
      <c r="F17" s="25">
        <f t="shared" si="1"/>
        <v>9</v>
      </c>
      <c r="G17" s="21">
        <f t="shared" si="2"/>
        <v>8</v>
      </c>
      <c r="H17" s="25">
        <f t="shared" si="3"/>
        <v>36</v>
      </c>
      <c r="I17" s="51">
        <f>IF(B17="","",IF(B17=Setup!$F$12,J17-H17,I18-$N$5))</f>
        <v>113</v>
      </c>
      <c r="J17" s="22">
        <f>IF(B17="","",IF(B17=Setup!$F$12,INDEX('Line 2'!J:J,MATCH(MAX('Line 2'!B:B),'Line 2'!B:B)),I17+H17))</f>
        <v>149</v>
      </c>
      <c r="K17" s="23">
        <f t="shared" si="0"/>
        <v>2980</v>
      </c>
      <c r="L17" s="42"/>
      <c r="M17" s="43" t="str">
        <f>IF(B17="","",IF(B17*2=Setup!$F$12,"midstation row!",""))</f>
        <v/>
      </c>
      <c r="N17" s="41"/>
    </row>
    <row r="18" spans="1:14" x14ac:dyDescent="0.2">
      <c r="A18" s="52">
        <f t="shared" si="5"/>
        <v>9</v>
      </c>
      <c r="B18" s="40">
        <f>IF(Setup!$F$12&gt;A18,B17+1,"")</f>
        <v>10</v>
      </c>
      <c r="C18" s="54">
        <f t="shared" si="4"/>
        <v>10</v>
      </c>
      <c r="D18" s="55"/>
      <c r="E18" s="55"/>
      <c r="F18" s="25">
        <f t="shared" si="1"/>
        <v>10</v>
      </c>
      <c r="G18" s="21">
        <f t="shared" si="2"/>
        <v>9</v>
      </c>
      <c r="H18" s="25">
        <f t="shared" si="3"/>
        <v>45</v>
      </c>
      <c r="I18" s="51">
        <f>IF(B18="","",IF(B18=Setup!$F$12,J18-H18,I19-$N$5))</f>
        <v>105.5</v>
      </c>
      <c r="J18" s="22">
        <f>IF(B18="","",IF(B18=Setup!$F$12,INDEX('Line 2'!J:J,MATCH(MAX('Line 2'!B:B),'Line 2'!B:B)),I18+H18))</f>
        <v>150.5</v>
      </c>
      <c r="K18" s="23">
        <f t="shared" si="0"/>
        <v>3010</v>
      </c>
      <c r="L18" s="42"/>
      <c r="M18" s="43" t="str">
        <f>IF(B18="","",IF(B18*2=Setup!$F$12,"midstation row!",""))</f>
        <v/>
      </c>
    </row>
    <row r="19" spans="1:14" x14ac:dyDescent="0.2">
      <c r="A19" s="52">
        <f t="shared" si="5"/>
        <v>10</v>
      </c>
      <c r="B19" s="40">
        <f>IF(Setup!$F$12&gt;A19,B18+1,"")</f>
        <v>11</v>
      </c>
      <c r="C19" s="54">
        <f t="shared" si="4"/>
        <v>11</v>
      </c>
      <c r="D19" s="55"/>
      <c r="E19" s="55"/>
      <c r="F19" s="25">
        <f t="shared" si="1"/>
        <v>11</v>
      </c>
      <c r="G19" s="21">
        <f t="shared" si="2"/>
        <v>10</v>
      </c>
      <c r="H19" s="25">
        <f t="shared" si="3"/>
        <v>55</v>
      </c>
      <c r="I19" s="51">
        <f>IF(B19="","",IF(B19=Setup!$F$12,J19-H19,I20-$N$5))</f>
        <v>98</v>
      </c>
      <c r="J19" s="22">
        <f>IF(B19="","",IF(B19=Setup!$F$12,INDEX('Line 2'!J:J,MATCH(MAX('Line 2'!B:B),'Line 2'!B:B)),I19+H19))</f>
        <v>153</v>
      </c>
      <c r="K19" s="23">
        <f t="shared" si="0"/>
        <v>3060</v>
      </c>
      <c r="L19" s="42"/>
      <c r="M19" s="43" t="str">
        <f>IF(B19="","",IF(B19*2=Setup!$F$12,"midstation row!",""))</f>
        <v/>
      </c>
    </row>
    <row r="20" spans="1:14" x14ac:dyDescent="0.2">
      <c r="A20" s="52">
        <f t="shared" si="5"/>
        <v>11</v>
      </c>
      <c r="B20" s="40">
        <f>IF(Setup!$F$12&gt;A20,B19+1,"")</f>
        <v>12</v>
      </c>
      <c r="C20" s="54">
        <f t="shared" si="4"/>
        <v>12</v>
      </c>
      <c r="D20" s="55"/>
      <c r="E20" s="55"/>
      <c r="F20" s="25">
        <f t="shared" si="1"/>
        <v>12</v>
      </c>
      <c r="G20" s="21">
        <f t="shared" si="2"/>
        <v>11</v>
      </c>
      <c r="H20" s="25">
        <f t="shared" si="3"/>
        <v>66</v>
      </c>
      <c r="I20" s="51">
        <f>IF(B20="","",IF(B20=Setup!$F$12,J20-H20,I21-$N$5))</f>
        <v>90.5</v>
      </c>
      <c r="J20" s="22">
        <f>IF(B20="","",IF(B20=Setup!$F$12,INDEX('Line 2'!J:J,MATCH(MAX('Line 2'!B:B),'Line 2'!B:B)),I20+H20))</f>
        <v>156.5</v>
      </c>
      <c r="K20" s="23">
        <f t="shared" si="0"/>
        <v>3130</v>
      </c>
      <c r="L20" s="42"/>
      <c r="M20" s="43" t="str">
        <f>IF(B20="","",IF(B20*2=Setup!$F$12,"midstation row!",""))</f>
        <v/>
      </c>
    </row>
    <row r="21" spans="1:14" x14ac:dyDescent="0.2">
      <c r="A21" s="52">
        <f t="shared" si="5"/>
        <v>12</v>
      </c>
      <c r="B21" s="40">
        <f>IF(Setup!$F$12&gt;A21,B20+1,"")</f>
        <v>13</v>
      </c>
      <c r="C21" s="54">
        <f t="shared" si="4"/>
        <v>13</v>
      </c>
      <c r="D21" s="55"/>
      <c r="E21" s="55"/>
      <c r="F21" s="25">
        <f t="shared" si="1"/>
        <v>13</v>
      </c>
      <c r="G21" s="21">
        <f t="shared" si="2"/>
        <v>12</v>
      </c>
      <c r="H21" s="25">
        <f t="shared" si="3"/>
        <v>78</v>
      </c>
      <c r="I21" s="51">
        <f>IF(B21="","",IF(B21=Setup!$F$12,J21-H21,I22-$N$5))</f>
        <v>83</v>
      </c>
      <c r="J21" s="22">
        <f>IF(B21="","",IF(B21=Setup!$F$12,INDEX('Line 2'!J:J,MATCH(MAX('Line 2'!B:B),'Line 2'!B:B)),I21+H21))</f>
        <v>161</v>
      </c>
      <c r="K21" s="23">
        <f t="shared" si="0"/>
        <v>3220</v>
      </c>
      <c r="L21" s="42"/>
      <c r="M21" s="43" t="str">
        <f>IF(B21="","",IF(B21*2=Setup!$F$12,"midstation row!",""))</f>
        <v/>
      </c>
    </row>
    <row r="22" spans="1:14" x14ac:dyDescent="0.2">
      <c r="A22" s="52">
        <f t="shared" si="5"/>
        <v>13</v>
      </c>
      <c r="B22" s="40">
        <f>IF(Setup!$F$12&gt;A22,B21+1,"")</f>
        <v>14</v>
      </c>
      <c r="C22" s="54">
        <f t="shared" si="4"/>
        <v>14</v>
      </c>
      <c r="D22" s="55"/>
      <c r="E22" s="55"/>
      <c r="F22" s="25">
        <f t="shared" si="1"/>
        <v>14</v>
      </c>
      <c r="G22" s="21">
        <f t="shared" si="2"/>
        <v>13</v>
      </c>
      <c r="H22" s="25">
        <f t="shared" si="3"/>
        <v>91</v>
      </c>
      <c r="I22" s="51">
        <f>IF(B22="","",IF(B22=Setup!$F$12,J22-H22,I23-$N$5))</f>
        <v>75.5</v>
      </c>
      <c r="J22" s="22">
        <f>IF(B22="","",IF(B22=Setup!$F$12,INDEX('Line 2'!J:J,MATCH(MAX('Line 2'!B:B),'Line 2'!B:B)),I22+H22))</f>
        <v>166.5</v>
      </c>
      <c r="K22" s="23">
        <f t="shared" si="0"/>
        <v>3330</v>
      </c>
      <c r="L22" s="42"/>
      <c r="M22" s="43" t="str">
        <f>IF(B22="","",IF(B22*2=Setup!$F$12,"midstation row!",""))</f>
        <v/>
      </c>
    </row>
    <row r="23" spans="1:14" x14ac:dyDescent="0.2">
      <c r="A23" s="52">
        <f t="shared" si="5"/>
        <v>14</v>
      </c>
      <c r="B23" s="40">
        <f>IF(Setup!$F$12&gt;A23,B22+1,"")</f>
        <v>15</v>
      </c>
      <c r="C23" s="54">
        <f t="shared" si="4"/>
        <v>15</v>
      </c>
      <c r="D23" s="55"/>
      <c r="E23" s="55"/>
      <c r="F23" s="25">
        <f t="shared" si="1"/>
        <v>15</v>
      </c>
      <c r="G23" s="21">
        <f t="shared" si="2"/>
        <v>14</v>
      </c>
      <c r="H23" s="25">
        <f t="shared" si="3"/>
        <v>105</v>
      </c>
      <c r="I23" s="51">
        <f>IF(B23="","",IF(B23=Setup!$F$12,J23-H23,I24-$N$5))</f>
        <v>68</v>
      </c>
      <c r="J23" s="22">
        <f>IF(B23="","",IF(B23=Setup!$F$12,INDEX('Line 2'!J:J,MATCH(MAX('Line 2'!B:B),'Line 2'!B:B)),I23+H23))</f>
        <v>173</v>
      </c>
      <c r="K23" s="23">
        <f t="shared" si="0"/>
        <v>3460</v>
      </c>
      <c r="L23" s="42"/>
      <c r="M23" s="43" t="str">
        <f>IF(B23="","",IF(B23*2=Setup!$F$12,"midstation row!",""))</f>
        <v/>
      </c>
    </row>
    <row r="24" spans="1:14" x14ac:dyDescent="0.2">
      <c r="A24" s="52">
        <f t="shared" si="5"/>
        <v>15</v>
      </c>
      <c r="B24" s="40">
        <f>IF(Setup!$F$12&gt;A24,B23+1,"")</f>
        <v>16</v>
      </c>
      <c r="C24" s="54">
        <f t="shared" si="4"/>
        <v>16</v>
      </c>
      <c r="D24" s="55"/>
      <c r="E24" s="55"/>
      <c r="F24" s="25">
        <f t="shared" si="1"/>
        <v>16</v>
      </c>
      <c r="G24" s="21">
        <f t="shared" si="2"/>
        <v>15</v>
      </c>
      <c r="H24" s="25">
        <f t="shared" si="3"/>
        <v>120</v>
      </c>
      <c r="I24" s="51">
        <f>IF(B24="","",IF(B24=Setup!$F$12,J24-H24,I25-$N$5))</f>
        <v>60.5</v>
      </c>
      <c r="J24" s="22">
        <f>IF(B24="","",IF(B24=Setup!$F$12,INDEX('Line 2'!J:J,MATCH(MAX('Line 2'!B:B),'Line 2'!B:B)),I24+H24))</f>
        <v>180.5</v>
      </c>
      <c r="K24" s="23">
        <f t="shared" si="0"/>
        <v>3610</v>
      </c>
      <c r="L24" s="42"/>
      <c r="M24" s="43" t="str">
        <f>IF(B24="","",IF(B24*2=Setup!$F$12,"midstation row!",""))</f>
        <v/>
      </c>
    </row>
    <row r="25" spans="1:14" x14ac:dyDescent="0.2">
      <c r="A25" s="52">
        <f t="shared" si="5"/>
        <v>16</v>
      </c>
      <c r="B25" s="40" t="str">
        <f>IF(Setup!$F$12&gt;A25,B24+1,"")</f>
        <v/>
      </c>
      <c r="C25" s="54">
        <f t="shared" si="4"/>
        <v>17</v>
      </c>
      <c r="D25" s="55"/>
      <c r="E25" s="55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1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2"/>
      <c r="M25" s="43" t="str">
        <f>IF(B25="","",IF(B25*2=Setup!$F$12,"midstation row!",""))</f>
        <v/>
      </c>
    </row>
    <row r="26" spans="1:14" x14ac:dyDescent="0.2">
      <c r="A26" s="52">
        <f t="shared" si="5"/>
        <v>17</v>
      </c>
      <c r="B26" s="40" t="str">
        <f>IF(Setup!$F$12&gt;A26,B25+1,"")</f>
        <v/>
      </c>
      <c r="C26" s="54">
        <f t="shared" si="4"/>
        <v>18</v>
      </c>
      <c r="D26" s="55"/>
      <c r="E26" s="55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1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2"/>
      <c r="M26" s="43" t="str">
        <f>IF(B26="","",IF(B26*2=Setup!$F$12,"midstation row!",""))</f>
        <v/>
      </c>
    </row>
    <row r="27" spans="1:14" x14ac:dyDescent="0.2">
      <c r="A27" s="52">
        <f t="shared" si="5"/>
        <v>18</v>
      </c>
      <c r="B27" s="40" t="str">
        <f>IF(Setup!$F$12&gt;A27,B26+1,"")</f>
        <v/>
      </c>
      <c r="C27" s="54">
        <f t="shared" si="4"/>
        <v>19</v>
      </c>
      <c r="D27" s="55"/>
      <c r="E27" s="55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1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3" t="str">
        <f>IF(B27="","",IF(B27*2=Setup!$F$12,"midstation row!",""))</f>
        <v/>
      </c>
    </row>
    <row r="28" spans="1:14" x14ac:dyDescent="0.2">
      <c r="A28" s="52">
        <f t="shared" si="5"/>
        <v>19</v>
      </c>
      <c r="B28" s="40" t="str">
        <f>IF(Setup!$F$12&gt;A28,B27+1,"")</f>
        <v/>
      </c>
      <c r="C28" s="54">
        <f t="shared" si="4"/>
        <v>20</v>
      </c>
      <c r="D28" s="55"/>
      <c r="E28" s="55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1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3" t="str">
        <f>IF(B28="","",IF(B28*2=Setup!$F$12,"midstation row!",""))</f>
        <v/>
      </c>
    </row>
    <row r="29" spans="1:14" x14ac:dyDescent="0.2">
      <c r="A29" s="52">
        <f t="shared" si="5"/>
        <v>20</v>
      </c>
      <c r="B29" s="40" t="str">
        <f>IF(Setup!$F$12&gt;A29,B28+1,"")</f>
        <v/>
      </c>
      <c r="C29" s="54">
        <f t="shared" si="4"/>
        <v>21</v>
      </c>
      <c r="D29" s="55"/>
      <c r="E29" s="55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1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3" t="str">
        <f>IF(B29="","",IF(B29*2=Setup!$F$12,"midstation row!",""))</f>
        <v/>
      </c>
    </row>
    <row r="30" spans="1:14" x14ac:dyDescent="0.2">
      <c r="A30" s="52">
        <f t="shared" si="5"/>
        <v>21</v>
      </c>
      <c r="B30" s="40" t="str">
        <f>IF(Setup!$F$12&gt;A30,B29+1,"")</f>
        <v/>
      </c>
      <c r="C30" s="54">
        <f t="shared" si="4"/>
        <v>22</v>
      </c>
      <c r="D30" s="55"/>
      <c r="E30" s="55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1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3" t="str">
        <f>IF(B30="","",IF(B30*2=Setup!$F$12,"midstation row!",""))</f>
        <v/>
      </c>
    </row>
    <row r="31" spans="1:14" x14ac:dyDescent="0.2">
      <c r="A31" s="52">
        <f t="shared" si="5"/>
        <v>22</v>
      </c>
      <c r="B31" s="40" t="str">
        <f>IF(Setup!$F$12&gt;A31,B30+1,"")</f>
        <v/>
      </c>
      <c r="C31" s="54">
        <f t="shared" si="4"/>
        <v>23</v>
      </c>
      <c r="D31" s="55"/>
      <c r="E31" s="55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1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3" t="str">
        <f>IF(B31="","",IF(B31*2=Setup!$F$12,"midstation row!",""))</f>
        <v/>
      </c>
    </row>
    <row r="32" spans="1:14" x14ac:dyDescent="0.2">
      <c r="A32" s="52">
        <f t="shared" si="5"/>
        <v>23</v>
      </c>
      <c r="B32" s="40" t="str">
        <f>IF(Setup!$F$12&gt;A32,B31+1,"")</f>
        <v/>
      </c>
      <c r="C32" s="54">
        <f t="shared" si="4"/>
        <v>24</v>
      </c>
      <c r="D32" s="55"/>
      <c r="E32" s="55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1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3" t="str">
        <f>IF(B32="","",IF(B32*2=Setup!$F$12,"midstation row!",""))</f>
        <v/>
      </c>
    </row>
    <row r="33" spans="1:13" x14ac:dyDescent="0.2">
      <c r="A33" s="52">
        <f t="shared" si="5"/>
        <v>24</v>
      </c>
      <c r="B33" s="40" t="str">
        <f>IF(Setup!$F$12&gt;A33,B32+1,"")</f>
        <v/>
      </c>
      <c r="C33" s="54">
        <f t="shared" si="4"/>
        <v>25</v>
      </c>
      <c r="D33" s="55"/>
      <c r="E33" s="55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1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3" t="str">
        <f>IF(B33="","",IF(B33*2=Setup!$F$12,"midstation row!",""))</f>
        <v/>
      </c>
    </row>
    <row r="34" spans="1:13" x14ac:dyDescent="0.2">
      <c r="A34" s="52">
        <f t="shared" si="5"/>
        <v>25</v>
      </c>
      <c r="B34" s="40" t="str">
        <f>IF(Setup!$F$12&gt;A34,B33+1,"")</f>
        <v/>
      </c>
      <c r="C34" s="54">
        <f t="shared" si="4"/>
        <v>26</v>
      </c>
      <c r="D34" s="55"/>
      <c r="E34" s="55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1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3" t="str">
        <f>IF(B34="","",IF(B34*2=Setup!$F$12,"midstation row!",""))</f>
        <v/>
      </c>
    </row>
    <row r="35" spans="1:13" x14ac:dyDescent="0.2">
      <c r="A35" s="52">
        <f t="shared" si="5"/>
        <v>26</v>
      </c>
      <c r="B35" s="40" t="str">
        <f>IF(Setup!$F$12&gt;A35,B34+1,"")</f>
        <v/>
      </c>
      <c r="C35" s="54">
        <f t="shared" si="4"/>
        <v>27</v>
      </c>
      <c r="D35" s="55"/>
      <c r="E35" s="55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1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3" t="str">
        <f>IF(B35="","",IF(B35*2=Setup!$F$12,"midstation row!",""))</f>
        <v/>
      </c>
    </row>
    <row r="36" spans="1:13" x14ac:dyDescent="0.2">
      <c r="A36" s="52">
        <f t="shared" si="5"/>
        <v>27</v>
      </c>
      <c r="B36" s="40" t="str">
        <f>IF(Setup!$F$12&gt;A36,B35+1,"")</f>
        <v/>
      </c>
      <c r="C36" s="54">
        <f t="shared" si="4"/>
        <v>28</v>
      </c>
      <c r="D36" s="55"/>
      <c r="E36" s="55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1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3" t="str">
        <f>IF(B36="","",IF(B36*2=Setup!$F$12,"midstation row!",""))</f>
        <v/>
      </c>
    </row>
    <row r="37" spans="1:13" x14ac:dyDescent="0.2">
      <c r="A37" s="52">
        <f t="shared" si="5"/>
        <v>28</v>
      </c>
      <c r="B37" s="40" t="str">
        <f>IF(Setup!$F$12&gt;A37,B36+1,"")</f>
        <v/>
      </c>
      <c r="C37" s="54">
        <f t="shared" si="4"/>
        <v>29</v>
      </c>
      <c r="D37" s="55"/>
      <c r="E37" s="55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1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3" t="str">
        <f>IF(B37="","",IF(B37*2=Setup!$F$12,"midstation row!",""))</f>
        <v/>
      </c>
    </row>
    <row r="38" spans="1:13" x14ac:dyDescent="0.2">
      <c r="A38" s="52">
        <f t="shared" si="5"/>
        <v>29</v>
      </c>
      <c r="B38" s="40" t="str">
        <f>IF(Setup!$F$12&gt;A38,B37+1,"")</f>
        <v/>
      </c>
      <c r="C38" s="54">
        <f t="shared" si="4"/>
        <v>30</v>
      </c>
      <c r="D38" s="55"/>
      <c r="E38" s="55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1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3" t="str">
        <f>IF(B38="","",IF(B38*2=Setup!$F$12,"midstation row!",""))</f>
        <v/>
      </c>
    </row>
    <row r="39" spans="1:13" x14ac:dyDescent="0.2">
      <c r="A39" s="52">
        <f t="shared" si="5"/>
        <v>30</v>
      </c>
      <c r="B39" s="40" t="str">
        <f>IF(Setup!$F$12&gt;A39,B38+1,"")</f>
        <v/>
      </c>
      <c r="C39" s="54">
        <f t="shared" si="4"/>
        <v>31</v>
      </c>
      <c r="D39" s="55"/>
      <c r="E39" s="55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1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3" t="str">
        <f>IF(B39="","",IF(B39*2=Setup!$F$12,"midstation row!",""))</f>
        <v/>
      </c>
    </row>
    <row r="40" spans="1:13" x14ac:dyDescent="0.2">
      <c r="A40" s="52">
        <f t="shared" si="5"/>
        <v>31</v>
      </c>
      <c r="B40" s="40" t="str">
        <f>IF(Setup!$F$12&gt;A40,B39+1,"")</f>
        <v/>
      </c>
      <c r="C40" s="54">
        <f t="shared" si="4"/>
        <v>32</v>
      </c>
      <c r="D40" s="55"/>
      <c r="E40" s="55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1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3" t="str">
        <f>IF(B40="","",IF(B40*2=Setup!$F$12,"midstation row!",""))</f>
        <v/>
      </c>
    </row>
    <row r="41" spans="1:13" x14ac:dyDescent="0.2">
      <c r="A41" s="52">
        <f t="shared" si="5"/>
        <v>32</v>
      </c>
      <c r="B41" s="40" t="str">
        <f>IF(Setup!$F$12&gt;A41,B40+1,"")</f>
        <v/>
      </c>
      <c r="C41" s="54">
        <f t="shared" si="4"/>
        <v>33</v>
      </c>
      <c r="D41" s="55"/>
      <c r="E41" s="55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1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3" t="str">
        <f>IF(B41="","",IF(B41*2=Setup!$F$12,"midstation row!",""))</f>
        <v/>
      </c>
    </row>
    <row r="42" spans="1:13" x14ac:dyDescent="0.2">
      <c r="A42" s="52">
        <f t="shared" si="5"/>
        <v>33</v>
      </c>
      <c r="B42" s="40" t="str">
        <f>IF(Setup!$F$12&gt;A42,B41+1,"")</f>
        <v/>
      </c>
      <c r="C42" s="54">
        <f t="shared" si="4"/>
        <v>34</v>
      </c>
      <c r="D42" s="55"/>
      <c r="E42" s="55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1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3" t="str">
        <f>IF(B42="","",IF(B42*2=Setup!$F$12,"midstation row!",""))</f>
        <v/>
      </c>
    </row>
    <row r="43" spans="1:13" x14ac:dyDescent="0.2">
      <c r="A43" s="52">
        <f t="shared" si="5"/>
        <v>34</v>
      </c>
      <c r="B43" s="40" t="str">
        <f>IF(Setup!$F$12&gt;A43,B42+1,"")</f>
        <v/>
      </c>
      <c r="C43" s="54">
        <f t="shared" si="4"/>
        <v>35</v>
      </c>
      <c r="D43" s="55"/>
      <c r="E43" s="55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1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3" t="str">
        <f>IF(B43="","",IF(B43*2=Setup!$F$12,"midstation row!",""))</f>
        <v/>
      </c>
    </row>
    <row r="44" spans="1:13" x14ac:dyDescent="0.2">
      <c r="A44" s="52">
        <f t="shared" si="5"/>
        <v>35</v>
      </c>
      <c r="B44" s="40" t="str">
        <f>IF(Setup!$F$12&gt;A44,B43+1,"")</f>
        <v/>
      </c>
      <c r="C44" s="54">
        <f t="shared" si="4"/>
        <v>36</v>
      </c>
      <c r="D44" s="55"/>
      <c r="E44" s="55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1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3" t="str">
        <f>IF(B44="","",IF(B44*2=Setup!$F$12,"midstation row!",""))</f>
        <v/>
      </c>
    </row>
    <row r="45" spans="1:13" x14ac:dyDescent="0.2">
      <c r="A45" s="52">
        <f t="shared" si="5"/>
        <v>36</v>
      </c>
      <c r="B45" s="40" t="str">
        <f>IF(Setup!$F$12&gt;A45,B44+1,"")</f>
        <v/>
      </c>
      <c r="C45" s="54">
        <f t="shared" si="4"/>
        <v>37</v>
      </c>
      <c r="D45" s="55"/>
      <c r="E45" s="55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1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3" t="str">
        <f>IF(B45="","",IF(B45*2=Setup!$F$12,"midstation row!",""))</f>
        <v/>
      </c>
    </row>
    <row r="46" spans="1:13" x14ac:dyDescent="0.2">
      <c r="A46" s="52">
        <f t="shared" si="5"/>
        <v>37</v>
      </c>
      <c r="B46" s="40" t="str">
        <f>IF(Setup!$F$12&gt;A46,B45+1,"")</f>
        <v/>
      </c>
      <c r="C46" s="54">
        <f t="shared" si="4"/>
        <v>38</v>
      </c>
      <c r="D46" s="55"/>
      <c r="E46" s="55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1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3" t="str">
        <f>IF(B46="","",IF(B46*2=Setup!$F$12,"midstation row!",""))</f>
        <v/>
      </c>
    </row>
    <row r="47" spans="1:13" x14ac:dyDescent="0.2">
      <c r="A47" s="52">
        <f t="shared" si="5"/>
        <v>38</v>
      </c>
      <c r="B47" s="40" t="str">
        <f>IF(Setup!$F$12&gt;A47,B46+1,"")</f>
        <v/>
      </c>
      <c r="C47" s="54">
        <f t="shared" si="4"/>
        <v>39</v>
      </c>
      <c r="D47" s="55"/>
      <c r="E47" s="55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1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3" t="str">
        <f>IF(B47="","",IF(B47*2=Setup!$F$12,"midstation row!",""))</f>
        <v/>
      </c>
    </row>
    <row r="48" spans="1:13" x14ac:dyDescent="0.2">
      <c r="A48" s="52">
        <f t="shared" si="5"/>
        <v>39</v>
      </c>
      <c r="B48" s="40" t="str">
        <f>IF(Setup!$F$12&gt;A48,B47+1,"")</f>
        <v/>
      </c>
      <c r="C48" s="54">
        <f t="shared" si="4"/>
        <v>40</v>
      </c>
      <c r="D48" s="55"/>
      <c r="E48" s="55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1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3" t="str">
        <f>IF(B48="","",IF(B48*2=Setup!$F$12,"midstation row!",""))</f>
        <v/>
      </c>
    </row>
    <row r="49" spans="1:13" x14ac:dyDescent="0.2">
      <c r="A49" s="52">
        <f t="shared" si="5"/>
        <v>40</v>
      </c>
      <c r="B49" s="40" t="str">
        <f>IF(Setup!$F$12&gt;A49,B48+1,"")</f>
        <v/>
      </c>
      <c r="C49" s="54">
        <f t="shared" si="4"/>
        <v>41</v>
      </c>
      <c r="D49" s="55"/>
      <c r="E49" s="55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1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3" t="str">
        <f>IF(B49="","",IF(B49*2=Setup!$F$12,"midstation row!",""))</f>
        <v/>
      </c>
    </row>
    <row r="50" spans="1:13" x14ac:dyDescent="0.2">
      <c r="A50" s="52">
        <f t="shared" si="5"/>
        <v>41</v>
      </c>
      <c r="B50" s="40" t="str">
        <f>IF(Setup!$F$12&gt;A50,B49+1,"")</f>
        <v/>
      </c>
      <c r="C50" s="54">
        <f t="shared" si="4"/>
        <v>42</v>
      </c>
      <c r="D50" s="55"/>
      <c r="E50" s="55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1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3" t="str">
        <f>IF(B50="","",IF(B50*2=Setup!$F$12,"midstation row!",""))</f>
        <v/>
      </c>
    </row>
    <row r="51" spans="1:13" x14ac:dyDescent="0.2">
      <c r="A51" s="52">
        <f t="shared" si="5"/>
        <v>42</v>
      </c>
      <c r="B51" s="40" t="str">
        <f>IF(Setup!$F$12&gt;A51,B50+1,"")</f>
        <v/>
      </c>
      <c r="C51" s="54">
        <f t="shared" si="4"/>
        <v>43</v>
      </c>
      <c r="D51" s="55"/>
      <c r="E51" s="55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1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3" t="str">
        <f>IF(B51="","",IF(B51*2=Setup!$F$12,"midstation row!",""))</f>
        <v/>
      </c>
    </row>
    <row r="52" spans="1:13" x14ac:dyDescent="0.2">
      <c r="A52" s="52">
        <f t="shared" si="5"/>
        <v>43</v>
      </c>
      <c r="B52" s="40" t="str">
        <f>IF(Setup!$F$12&gt;A52,B51+1,"")</f>
        <v/>
      </c>
      <c r="C52" s="54">
        <f t="shared" si="4"/>
        <v>44</v>
      </c>
      <c r="D52" s="55"/>
      <c r="E52" s="55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1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3" t="str">
        <f>IF(B52="","",IF(B52*2=Setup!$F$12,"midstation row!",""))</f>
        <v/>
      </c>
    </row>
    <row r="53" spans="1:13" x14ac:dyDescent="0.2">
      <c r="A53" s="52">
        <f t="shared" si="5"/>
        <v>44</v>
      </c>
      <c r="B53" s="40" t="str">
        <f>IF(Setup!$F$12&gt;A53,B52+1,"")</f>
        <v/>
      </c>
      <c r="C53" s="54">
        <f t="shared" si="4"/>
        <v>45</v>
      </c>
      <c r="D53" s="55"/>
      <c r="E53" s="55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1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3" t="str">
        <f>IF(B53="","",IF(B53*2=Setup!$F$12,"midstation row!",""))</f>
        <v/>
      </c>
    </row>
    <row r="54" spans="1:13" x14ac:dyDescent="0.2">
      <c r="A54" s="52">
        <f t="shared" si="5"/>
        <v>45</v>
      </c>
      <c r="B54" s="40" t="str">
        <f>IF(Setup!$F$12&gt;A54,B53+1,"")</f>
        <v/>
      </c>
      <c r="C54" s="54">
        <f t="shared" si="4"/>
        <v>46</v>
      </c>
      <c r="D54" s="55"/>
      <c r="E54" s="55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1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3" t="str">
        <f>IF(B54="","",IF(B54*2=Setup!$F$12,"midstation row!",""))</f>
        <v/>
      </c>
    </row>
    <row r="55" spans="1:13" x14ac:dyDescent="0.2">
      <c r="A55" s="52">
        <f t="shared" si="5"/>
        <v>46</v>
      </c>
      <c r="B55" s="40" t="str">
        <f>IF(Setup!$F$12&gt;A55,B54+1,"")</f>
        <v/>
      </c>
      <c r="C55" s="54">
        <f t="shared" si="4"/>
        <v>47</v>
      </c>
      <c r="D55" s="55"/>
      <c r="E55" s="55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1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3" t="str">
        <f>IF(B55="","",IF(B55*2=Setup!$F$12,"midstation row!",""))</f>
        <v/>
      </c>
    </row>
    <row r="56" spans="1:13" x14ac:dyDescent="0.2">
      <c r="A56" s="52">
        <f t="shared" si="5"/>
        <v>47</v>
      </c>
      <c r="B56" s="40" t="str">
        <f>IF(Setup!$F$12&gt;A56,B55+1,"")</f>
        <v/>
      </c>
      <c r="C56" s="54">
        <f t="shared" si="4"/>
        <v>48</v>
      </c>
      <c r="D56" s="55"/>
      <c r="E56" s="55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1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3" t="str">
        <f>IF(B56="","",IF(B56*2=Setup!$F$12,"midstation row!",""))</f>
        <v/>
      </c>
    </row>
    <row r="57" spans="1:13" x14ac:dyDescent="0.2">
      <c r="A57" s="52">
        <f t="shared" si="5"/>
        <v>48</v>
      </c>
      <c r="B57" s="40" t="str">
        <f>IF(Setup!$F$12&gt;A57,B56+1,"")</f>
        <v/>
      </c>
      <c r="C57" s="54">
        <f t="shared" si="4"/>
        <v>49</v>
      </c>
      <c r="D57" s="55"/>
      <c r="E57" s="55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1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3" t="str">
        <f>IF(B57="","",IF(B57*2=Setup!$F$12,"midstation row!",""))</f>
        <v/>
      </c>
    </row>
    <row r="58" spans="1:13" x14ac:dyDescent="0.2">
      <c r="A58" s="52">
        <f t="shared" si="5"/>
        <v>49</v>
      </c>
      <c r="B58" s="40" t="str">
        <f>IF(Setup!$F$12&gt;A58,B57+1,"")</f>
        <v/>
      </c>
      <c r="C58" s="54">
        <f t="shared" si="4"/>
        <v>50</v>
      </c>
      <c r="D58" s="55"/>
      <c r="E58" s="55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1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3" t="str">
        <f>IF(B58="","",IF(B58*2=Setup!$F$12,"midstation row!",""))</f>
        <v/>
      </c>
    </row>
    <row r="59" spans="1:13" x14ac:dyDescent="0.2">
      <c r="A59" s="52">
        <f t="shared" si="5"/>
        <v>50</v>
      </c>
      <c r="B59" s="40" t="str">
        <f>IF(Setup!$F$12&gt;A59,B58+1,"")</f>
        <v/>
      </c>
      <c r="C59" s="54">
        <f t="shared" si="4"/>
        <v>51</v>
      </c>
      <c r="D59" s="55"/>
      <c r="E59" s="55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1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3" t="str">
        <f>IF(B59="","",IF(B59*2=Setup!$F$12,"midstation row!",""))</f>
        <v/>
      </c>
    </row>
    <row r="60" spans="1:13" x14ac:dyDescent="0.2">
      <c r="A60" s="52">
        <f t="shared" si="5"/>
        <v>51</v>
      </c>
      <c r="B60" s="40" t="str">
        <f>IF(Setup!$F$12&gt;A60,B59+1,"")</f>
        <v/>
      </c>
      <c r="C60" s="54">
        <f t="shared" si="4"/>
        <v>52</v>
      </c>
      <c r="D60" s="55"/>
      <c r="E60" s="55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1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3" t="str">
        <f>IF(B60="","",IF(B60*2=Setup!$F$12,"midstation row!",""))</f>
        <v/>
      </c>
    </row>
    <row r="61" spans="1:13" x14ac:dyDescent="0.2">
      <c r="A61" s="52">
        <f t="shared" si="5"/>
        <v>52</v>
      </c>
      <c r="B61" s="40" t="str">
        <f>IF(Setup!$F$12&gt;A61,B60+1,"")</f>
        <v/>
      </c>
      <c r="C61" s="54">
        <f t="shared" si="4"/>
        <v>53</v>
      </c>
      <c r="D61" s="55"/>
      <c r="E61" s="55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1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3" t="str">
        <f>IF(B61="","",IF(B61*2=Setup!$F$12,"midstation row!",""))</f>
        <v/>
      </c>
    </row>
    <row r="62" spans="1:13" x14ac:dyDescent="0.2">
      <c r="A62" s="52">
        <f t="shared" si="5"/>
        <v>53</v>
      </c>
      <c r="B62" s="40" t="str">
        <f>IF(Setup!$F$12&gt;A62,B61+1,"")</f>
        <v/>
      </c>
      <c r="C62" s="54">
        <f t="shared" si="4"/>
        <v>54</v>
      </c>
      <c r="D62" s="55"/>
      <c r="E62" s="55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1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3" t="str">
        <f>IF(B62="","",IF(B62*2=Setup!$F$12,"midstation row!",""))</f>
        <v/>
      </c>
    </row>
    <row r="63" spans="1:13" x14ac:dyDescent="0.2">
      <c r="A63" s="52">
        <f t="shared" si="5"/>
        <v>54</v>
      </c>
      <c r="B63" s="40" t="str">
        <f>IF(Setup!$F$12&gt;A63,B62+1,"")</f>
        <v/>
      </c>
      <c r="C63" s="54">
        <f t="shared" si="4"/>
        <v>55</v>
      </c>
      <c r="D63" s="55"/>
      <c r="E63" s="55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1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3" t="str">
        <f>IF(B63="","",IF(B63*2=Setup!$F$12,"midstation row!",""))</f>
        <v/>
      </c>
    </row>
    <row r="64" spans="1:13" x14ac:dyDescent="0.2">
      <c r="A64" s="52">
        <f t="shared" si="5"/>
        <v>55</v>
      </c>
      <c r="B64" s="40" t="str">
        <f>IF(Setup!$F$12&gt;A64,B63+1,"")</f>
        <v/>
      </c>
      <c r="C64" s="54">
        <f t="shared" si="4"/>
        <v>56</v>
      </c>
      <c r="D64" s="55"/>
      <c r="E64" s="55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1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3" t="str">
        <f>IF(B64="","",IF(B64*2=Setup!$F$12,"midstation row!",""))</f>
        <v/>
      </c>
    </row>
    <row r="65" spans="1:13" x14ac:dyDescent="0.2">
      <c r="A65" s="52">
        <f t="shared" si="5"/>
        <v>56</v>
      </c>
      <c r="B65" s="40" t="str">
        <f>IF(Setup!$F$12&gt;A65,B64+1,"")</f>
        <v/>
      </c>
      <c r="C65" s="54">
        <f t="shared" si="4"/>
        <v>57</v>
      </c>
      <c r="D65" s="55"/>
      <c r="E65" s="55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1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3" t="str">
        <f>IF(B65="","",IF(B65*2=Setup!$F$12,"midstation row!",""))</f>
        <v/>
      </c>
    </row>
    <row r="66" spans="1:13" x14ac:dyDescent="0.2">
      <c r="A66" s="52">
        <f t="shared" si="5"/>
        <v>57</v>
      </c>
      <c r="B66" s="40" t="str">
        <f>IF(Setup!$F$12&gt;A66,B65+1,"")</f>
        <v/>
      </c>
      <c r="C66" s="54">
        <f t="shared" si="4"/>
        <v>58</v>
      </c>
      <c r="D66" s="55"/>
      <c r="E66" s="55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1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3" t="str">
        <f>IF(B66="","",IF(B66*2=Setup!$F$12,"midstation row!",""))</f>
        <v/>
      </c>
    </row>
    <row r="67" spans="1:13" x14ac:dyDescent="0.2">
      <c r="A67" s="52">
        <f t="shared" si="5"/>
        <v>58</v>
      </c>
      <c r="B67" s="40" t="str">
        <f>IF(Setup!$F$12&gt;A67,B66+1,"")</f>
        <v/>
      </c>
      <c r="C67" s="54">
        <f t="shared" si="4"/>
        <v>59</v>
      </c>
      <c r="D67" s="55"/>
      <c r="E67" s="55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1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3" t="str">
        <f>IF(B67="","",IF(B67*2=Setup!$F$12,"midstation row!",""))</f>
        <v/>
      </c>
    </row>
    <row r="68" spans="1:13" x14ac:dyDescent="0.2">
      <c r="A68" s="52">
        <f t="shared" si="5"/>
        <v>59</v>
      </c>
      <c r="B68" s="40" t="str">
        <f>IF(Setup!$F$12&gt;A68,B67+1,"")</f>
        <v/>
      </c>
      <c r="C68" s="54">
        <f t="shared" si="4"/>
        <v>60</v>
      </c>
      <c r="D68" s="55"/>
      <c r="E68" s="55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1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3" t="str">
        <f>IF(B68="","",IF(B68*2=Setup!$F$12,"midstation row!",""))</f>
        <v/>
      </c>
    </row>
    <row r="69" spans="1:13" x14ac:dyDescent="0.2">
      <c r="A69" s="52">
        <f t="shared" si="5"/>
        <v>60</v>
      </c>
      <c r="B69" s="40" t="str">
        <f>IF(Setup!$F$12&gt;A69,B68+1,"")</f>
        <v/>
      </c>
      <c r="C69" s="54">
        <f t="shared" si="4"/>
        <v>61</v>
      </c>
      <c r="D69" s="55"/>
      <c r="E69" s="55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1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3" t="str">
        <f>IF(B69="","",IF(B69*2=Setup!$F$12,"midstation row!",""))</f>
        <v/>
      </c>
    </row>
    <row r="70" spans="1:13" x14ac:dyDescent="0.2">
      <c r="A70" s="52">
        <f t="shared" si="5"/>
        <v>61</v>
      </c>
      <c r="B70" s="40" t="str">
        <f>IF(Setup!$F$12&gt;A70,B69+1,"")</f>
        <v/>
      </c>
      <c r="C70" s="54">
        <f t="shared" si="4"/>
        <v>62</v>
      </c>
      <c r="D70" s="55"/>
      <c r="E70" s="55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1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3" t="str">
        <f>IF(B70="","",IF(B70*2=Setup!$F$12,"midstation row!",""))</f>
        <v/>
      </c>
    </row>
    <row r="71" spans="1:13" x14ac:dyDescent="0.2">
      <c r="A71" s="52">
        <f t="shared" si="5"/>
        <v>62</v>
      </c>
      <c r="B71" s="40" t="str">
        <f>IF(Setup!$F$12&gt;A71,B70+1,"")</f>
        <v/>
      </c>
      <c r="C71" s="54">
        <f t="shared" si="4"/>
        <v>63</v>
      </c>
      <c r="D71" s="55"/>
      <c r="E71" s="55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1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3" t="str">
        <f>IF(B71="","",IF(B71*2=Setup!$F$12,"midstation row!",""))</f>
        <v/>
      </c>
    </row>
    <row r="72" spans="1:13" x14ac:dyDescent="0.2">
      <c r="A72" s="52">
        <f t="shared" si="5"/>
        <v>63</v>
      </c>
      <c r="B72" s="40" t="str">
        <f>IF(Setup!$F$12&gt;A72,B71+1,"")</f>
        <v/>
      </c>
      <c r="C72" s="54">
        <f t="shared" si="4"/>
        <v>64</v>
      </c>
      <c r="D72" s="55"/>
      <c r="E72" s="55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1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3" t="str">
        <f>IF(B72="","",IF(B72*2=Setup!$F$12,"midstation row!",""))</f>
        <v/>
      </c>
    </row>
    <row r="73" spans="1:13" x14ac:dyDescent="0.2">
      <c r="A73" s="52">
        <f t="shared" si="5"/>
        <v>64</v>
      </c>
      <c r="B73" s="40" t="str">
        <f>IF(Setup!$F$12&gt;A73,B72+1,"")</f>
        <v/>
      </c>
      <c r="C73" s="54">
        <f t="shared" si="4"/>
        <v>65</v>
      </c>
      <c r="D73" s="55"/>
      <c r="E73" s="55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1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3" t="str">
        <f>IF(B73="","",IF(B73*2=Setup!$F$12,"midstation row!",""))</f>
        <v/>
      </c>
    </row>
    <row r="74" spans="1:13" x14ac:dyDescent="0.2">
      <c r="A74" s="52">
        <f t="shared" si="5"/>
        <v>65</v>
      </c>
      <c r="B74" s="40" t="str">
        <f>IF(Setup!$F$12&gt;A74,B73+1,"")</f>
        <v/>
      </c>
      <c r="C74" s="54">
        <f t="shared" si="4"/>
        <v>66</v>
      </c>
      <c r="D74" s="55"/>
      <c r="E74" s="55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1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3" t="str">
        <f>IF(B74="","",IF(B74*2=Setup!$F$12,"midstation row!",""))</f>
        <v/>
      </c>
    </row>
    <row r="75" spans="1:13" x14ac:dyDescent="0.2">
      <c r="A75" s="52">
        <f t="shared" si="5"/>
        <v>66</v>
      </c>
      <c r="B75" s="40" t="str">
        <f>IF(Setup!$F$12&gt;A75,B74+1,"")</f>
        <v/>
      </c>
      <c r="C75" s="54">
        <f t="shared" ref="C75:C108" si="10">C74+$C$9</f>
        <v>67</v>
      </c>
      <c r="D75" s="55"/>
      <c r="E75" s="55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1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3" t="str">
        <f>IF(B75="","",IF(B75*2=Setup!$F$12,"midstation row!",""))</f>
        <v/>
      </c>
    </row>
    <row r="76" spans="1:13" x14ac:dyDescent="0.2">
      <c r="A76" s="52">
        <f t="shared" ref="A76:A108" si="11">A75+1</f>
        <v>67</v>
      </c>
      <c r="B76" s="40" t="str">
        <f>IF(Setup!$F$12&gt;A76,B75+1,"")</f>
        <v/>
      </c>
      <c r="C76" s="54">
        <f t="shared" si="10"/>
        <v>68</v>
      </c>
      <c r="D76" s="55"/>
      <c r="E76" s="55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1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3" t="str">
        <f>IF(B76="","",IF(B76*2=Setup!$F$12,"midstation row!",""))</f>
        <v/>
      </c>
    </row>
    <row r="77" spans="1:13" x14ac:dyDescent="0.2">
      <c r="A77" s="52">
        <f t="shared" si="11"/>
        <v>68</v>
      </c>
      <c r="B77" s="40" t="str">
        <f>IF(Setup!$F$12&gt;A77,B76+1,"")</f>
        <v/>
      </c>
      <c r="C77" s="54">
        <f t="shared" si="10"/>
        <v>69</v>
      </c>
      <c r="D77" s="55"/>
      <c r="E77" s="55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1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3" t="str">
        <f>IF(B77="","",IF(B77*2=Setup!$F$12,"midstation row!",""))</f>
        <v/>
      </c>
    </row>
    <row r="78" spans="1:13" x14ac:dyDescent="0.2">
      <c r="A78" s="52">
        <f t="shared" si="11"/>
        <v>69</v>
      </c>
      <c r="B78" s="40" t="str">
        <f>IF(Setup!$F$12&gt;A78,B77+1,"")</f>
        <v/>
      </c>
      <c r="C78" s="54">
        <f t="shared" si="10"/>
        <v>70</v>
      </c>
      <c r="D78" s="55"/>
      <c r="E78" s="55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1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3" t="str">
        <f>IF(B78="","",IF(B78*2=Setup!$F$12,"midstation row!",""))</f>
        <v/>
      </c>
    </row>
    <row r="79" spans="1:13" x14ac:dyDescent="0.2">
      <c r="A79" s="52">
        <f t="shared" si="11"/>
        <v>70</v>
      </c>
      <c r="B79" s="40" t="str">
        <f>IF(Setup!$F$12&gt;A79,B78+1,"")</f>
        <v/>
      </c>
      <c r="C79" s="54">
        <f t="shared" si="10"/>
        <v>71</v>
      </c>
      <c r="D79" s="55"/>
      <c r="E79" s="55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1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3" t="str">
        <f>IF(B79="","",IF(B79*2=Setup!$F$12,"midstation row!",""))</f>
        <v/>
      </c>
    </row>
    <row r="80" spans="1:13" x14ac:dyDescent="0.2">
      <c r="A80" s="52">
        <f t="shared" si="11"/>
        <v>71</v>
      </c>
      <c r="B80" s="40" t="str">
        <f>IF(Setup!$F$12&gt;A80,B79+1,"")</f>
        <v/>
      </c>
      <c r="C80" s="54">
        <f t="shared" si="10"/>
        <v>72</v>
      </c>
      <c r="D80" s="55"/>
      <c r="E80" s="55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1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3" t="str">
        <f>IF(B80="","",IF(B80*2=Setup!$F$12,"midstation row!",""))</f>
        <v/>
      </c>
    </row>
    <row r="81" spans="1:13" x14ac:dyDescent="0.2">
      <c r="A81" s="52">
        <f t="shared" si="11"/>
        <v>72</v>
      </c>
      <c r="B81" s="40" t="str">
        <f>IF(Setup!$F$12&gt;A81,B80+1,"")</f>
        <v/>
      </c>
      <c r="C81" s="54">
        <f t="shared" si="10"/>
        <v>73</v>
      </c>
      <c r="D81" s="55"/>
      <c r="E81" s="55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1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3" t="str">
        <f>IF(B81="","",IF(B81*2=Setup!$F$12,"midstation row!",""))</f>
        <v/>
      </c>
    </row>
    <row r="82" spans="1:13" x14ac:dyDescent="0.2">
      <c r="A82" s="52">
        <f t="shared" si="11"/>
        <v>73</v>
      </c>
      <c r="B82" s="40" t="str">
        <f>IF(Setup!$F$12&gt;A82,B81+1,"")</f>
        <v/>
      </c>
      <c r="C82" s="54">
        <f t="shared" si="10"/>
        <v>74</v>
      </c>
      <c r="D82" s="55"/>
      <c r="E82" s="55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1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3" t="str">
        <f>IF(B82="","",IF(B82*2=Setup!$F$12,"midstation row!",""))</f>
        <v/>
      </c>
    </row>
    <row r="83" spans="1:13" x14ac:dyDescent="0.2">
      <c r="A83" s="52">
        <f t="shared" si="11"/>
        <v>74</v>
      </c>
      <c r="B83" s="40" t="str">
        <f>IF(Setup!$F$12&gt;A83,B82+1,"")</f>
        <v/>
      </c>
      <c r="C83" s="54">
        <f t="shared" si="10"/>
        <v>75</v>
      </c>
      <c r="D83" s="55"/>
      <c r="E83" s="55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1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3" t="str">
        <f>IF(B83="","",IF(B83*2=Setup!$F$12,"midstation row!",""))</f>
        <v/>
      </c>
    </row>
    <row r="84" spans="1:13" x14ac:dyDescent="0.2">
      <c r="A84" s="52">
        <f t="shared" si="11"/>
        <v>75</v>
      </c>
      <c r="B84" s="40" t="str">
        <f>IF(Setup!$F$12&gt;A84,B83+1,"")</f>
        <v/>
      </c>
      <c r="C84" s="54">
        <f t="shared" si="10"/>
        <v>76</v>
      </c>
      <c r="D84" s="55"/>
      <c r="E84" s="55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1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3" t="str">
        <f>IF(B84="","",IF(B84*2=Setup!$F$12,"midstation row!",""))</f>
        <v/>
      </c>
    </row>
    <row r="85" spans="1:13" x14ac:dyDescent="0.2">
      <c r="A85" s="52">
        <f t="shared" si="11"/>
        <v>76</v>
      </c>
      <c r="B85" s="40" t="str">
        <f>IF(Setup!$F$12&gt;A85,B84+1,"")</f>
        <v/>
      </c>
      <c r="C85" s="54">
        <f t="shared" si="10"/>
        <v>77</v>
      </c>
      <c r="D85" s="55"/>
      <c r="E85" s="55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1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3" t="str">
        <f>IF(B85="","",IF(B85*2=Setup!$F$12,"midstation row!",""))</f>
        <v/>
      </c>
    </row>
    <row r="86" spans="1:13" x14ac:dyDescent="0.2">
      <c r="A86" s="52">
        <f t="shared" si="11"/>
        <v>77</v>
      </c>
      <c r="B86" s="40" t="str">
        <f>IF(Setup!$F$12&gt;A86,B85+1,"")</f>
        <v/>
      </c>
      <c r="C86" s="54">
        <f t="shared" si="10"/>
        <v>78</v>
      </c>
      <c r="D86" s="55"/>
      <c r="E86" s="55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1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3" t="str">
        <f>IF(B86="","",IF(B86*2=Setup!$F$12,"midstation row!",""))</f>
        <v/>
      </c>
    </row>
    <row r="87" spans="1:13" x14ac:dyDescent="0.2">
      <c r="A87" s="52">
        <f t="shared" si="11"/>
        <v>78</v>
      </c>
      <c r="B87" s="40" t="str">
        <f>IF(Setup!$F$12&gt;A87,B86+1,"")</f>
        <v/>
      </c>
      <c r="C87" s="54">
        <f t="shared" si="10"/>
        <v>79</v>
      </c>
      <c r="D87" s="55"/>
      <c r="E87" s="55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1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3" t="str">
        <f>IF(B87="","",IF(B87*2=Setup!$F$12,"midstation row!",""))</f>
        <v/>
      </c>
    </row>
    <row r="88" spans="1:13" x14ac:dyDescent="0.2">
      <c r="A88" s="52">
        <f t="shared" si="11"/>
        <v>79</v>
      </c>
      <c r="B88" s="40" t="str">
        <f>IF(Setup!$F$12&gt;A88,B87+1,"")</f>
        <v/>
      </c>
      <c r="C88" s="54">
        <f t="shared" si="10"/>
        <v>80</v>
      </c>
      <c r="D88" s="55"/>
      <c r="E88" s="55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1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3" t="str">
        <f>IF(B88="","",IF(B88*2=Setup!$F$12,"midstation row!",""))</f>
        <v/>
      </c>
    </row>
    <row r="89" spans="1:13" x14ac:dyDescent="0.2">
      <c r="A89" s="52">
        <f t="shared" si="11"/>
        <v>80</v>
      </c>
      <c r="B89" s="40" t="str">
        <f>IF(Setup!$F$12&gt;A89,B88+1,"")</f>
        <v/>
      </c>
      <c r="C89" s="54">
        <f t="shared" si="10"/>
        <v>81</v>
      </c>
      <c r="D89" s="55"/>
      <c r="E89" s="55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1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3" t="str">
        <f>IF(B89="","",IF(B89*2=Setup!$F$12,"midstation row!",""))</f>
        <v/>
      </c>
    </row>
    <row r="90" spans="1:13" x14ac:dyDescent="0.2">
      <c r="A90" s="52">
        <f t="shared" si="11"/>
        <v>81</v>
      </c>
      <c r="B90" s="40" t="str">
        <f>IF(Setup!$F$12&gt;A90,B89+1,"")</f>
        <v/>
      </c>
      <c r="C90" s="54">
        <f t="shared" si="10"/>
        <v>82</v>
      </c>
      <c r="D90" s="55"/>
      <c r="E90" s="55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1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3" t="str">
        <f>IF(B90="","",IF(B90*2=Setup!$F$12,"midstation row!",""))</f>
        <v/>
      </c>
    </row>
    <row r="91" spans="1:13" x14ac:dyDescent="0.2">
      <c r="A91" s="52">
        <f t="shared" si="11"/>
        <v>82</v>
      </c>
      <c r="B91" s="40" t="str">
        <f>IF(Setup!$F$12&gt;A91,B90+1,"")</f>
        <v/>
      </c>
      <c r="C91" s="54">
        <f t="shared" si="10"/>
        <v>83</v>
      </c>
      <c r="D91" s="55"/>
      <c r="E91" s="55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1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3" t="str">
        <f>IF(B91="","",IF(B91*2=Setup!$F$12,"midstation row!",""))</f>
        <v/>
      </c>
    </row>
    <row r="92" spans="1:13" x14ac:dyDescent="0.2">
      <c r="A92" s="52">
        <f t="shared" si="11"/>
        <v>83</v>
      </c>
      <c r="B92" s="40" t="str">
        <f>IF(Setup!$F$12&gt;A92,B91+1,"")</f>
        <v/>
      </c>
      <c r="C92" s="54">
        <f t="shared" si="10"/>
        <v>84</v>
      </c>
      <c r="D92" s="55"/>
      <c r="E92" s="55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1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3" t="str">
        <f>IF(B92="","",IF(B92*2=Setup!$F$12,"midstation row!",""))</f>
        <v/>
      </c>
    </row>
    <row r="93" spans="1:13" x14ac:dyDescent="0.2">
      <c r="A93" s="52">
        <f t="shared" si="11"/>
        <v>84</v>
      </c>
      <c r="B93" s="40" t="str">
        <f>IF(Setup!$F$12&gt;A93,B92+1,"")</f>
        <v/>
      </c>
      <c r="C93" s="54">
        <f t="shared" si="10"/>
        <v>85</v>
      </c>
      <c r="D93" s="55"/>
      <c r="E93" s="55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1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3" t="str">
        <f>IF(B93="","",IF(B93*2=Setup!$F$12,"midstation row!",""))</f>
        <v/>
      </c>
    </row>
    <row r="94" spans="1:13" x14ac:dyDescent="0.2">
      <c r="A94" s="52">
        <f t="shared" si="11"/>
        <v>85</v>
      </c>
      <c r="B94" s="40" t="str">
        <f>IF(Setup!$F$12&gt;A94,B93+1,"")</f>
        <v/>
      </c>
      <c r="C94" s="54">
        <f t="shared" si="10"/>
        <v>86</v>
      </c>
      <c r="D94" s="55"/>
      <c r="E94" s="55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1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3" t="str">
        <f>IF(B94="","",IF(B94*2=Setup!$F$12,"midstation row!",""))</f>
        <v/>
      </c>
    </row>
    <row r="95" spans="1:13" x14ac:dyDescent="0.2">
      <c r="A95" s="52">
        <f t="shared" si="11"/>
        <v>86</v>
      </c>
      <c r="B95" s="40" t="str">
        <f>IF(Setup!$F$12&gt;A95,B94+1,"")</f>
        <v/>
      </c>
      <c r="C95" s="54">
        <f t="shared" si="10"/>
        <v>87</v>
      </c>
      <c r="D95" s="55"/>
      <c r="E95" s="55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1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3" t="str">
        <f>IF(B95="","",IF(B95*2=Setup!$F$12,"midstation row!",""))</f>
        <v/>
      </c>
    </row>
    <row r="96" spans="1:13" x14ac:dyDescent="0.2">
      <c r="A96" s="52">
        <f t="shared" si="11"/>
        <v>87</v>
      </c>
      <c r="B96" s="40" t="str">
        <f>IF(Setup!$F$12&gt;A96,B95+1,"")</f>
        <v/>
      </c>
      <c r="C96" s="54">
        <f t="shared" si="10"/>
        <v>88</v>
      </c>
      <c r="D96" s="55"/>
      <c r="E96" s="55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1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3" t="str">
        <f>IF(B96="","",IF(B96*2=Setup!$F$12,"midstation row!",""))</f>
        <v/>
      </c>
    </row>
    <row r="97" spans="1:13" x14ac:dyDescent="0.2">
      <c r="A97" s="52">
        <f t="shared" si="11"/>
        <v>88</v>
      </c>
      <c r="B97" s="40" t="str">
        <f>IF(Setup!$F$12&gt;A97,B96+1,"")</f>
        <v/>
      </c>
      <c r="C97" s="54">
        <f t="shared" si="10"/>
        <v>89</v>
      </c>
      <c r="D97" s="55"/>
      <c r="E97" s="55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1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3" t="str">
        <f>IF(B97="","",IF(B97*2=Setup!$F$12,"midstation row!",""))</f>
        <v/>
      </c>
    </row>
    <row r="98" spans="1:13" x14ac:dyDescent="0.2">
      <c r="A98" s="52">
        <f t="shared" si="11"/>
        <v>89</v>
      </c>
      <c r="B98" s="40" t="str">
        <f>IF(Setup!$F$12&gt;A98,B97+1,"")</f>
        <v/>
      </c>
      <c r="C98" s="54">
        <f t="shared" si="10"/>
        <v>90</v>
      </c>
      <c r="D98" s="55"/>
      <c r="E98" s="55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1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3" t="str">
        <f>IF(B98="","",IF(B98*2=Setup!$F$12,"midstation row!",""))</f>
        <v/>
      </c>
    </row>
    <row r="99" spans="1:13" x14ac:dyDescent="0.2">
      <c r="A99" s="52">
        <f t="shared" si="11"/>
        <v>90</v>
      </c>
      <c r="B99" s="40" t="str">
        <f>IF(Setup!$F$12&gt;A99,B98+1,"")</f>
        <v/>
      </c>
      <c r="C99" s="54">
        <f t="shared" si="10"/>
        <v>91</v>
      </c>
      <c r="D99" s="55"/>
      <c r="E99" s="55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1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3" t="str">
        <f>IF(B99="","",IF(B99*2=Setup!$F$12,"midstation row!",""))</f>
        <v/>
      </c>
    </row>
    <row r="100" spans="1:13" x14ac:dyDescent="0.2">
      <c r="A100" s="52">
        <f t="shared" si="11"/>
        <v>91</v>
      </c>
      <c r="B100" s="40" t="str">
        <f>IF(Setup!$F$12&gt;A100,B99+1,"")</f>
        <v/>
      </c>
      <c r="C100" s="54">
        <f t="shared" si="10"/>
        <v>92</v>
      </c>
      <c r="D100" s="55"/>
      <c r="E100" s="55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1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3" t="str">
        <f>IF(B100="","",IF(B100*2=Setup!$F$12,"midstation row!",""))</f>
        <v/>
      </c>
    </row>
    <row r="101" spans="1:13" x14ac:dyDescent="0.2">
      <c r="A101" s="52">
        <f t="shared" si="11"/>
        <v>92</v>
      </c>
      <c r="B101" s="40" t="str">
        <f>IF(Setup!$F$12&gt;A101,B100+1,"")</f>
        <v/>
      </c>
      <c r="C101" s="54">
        <f t="shared" si="10"/>
        <v>93</v>
      </c>
      <c r="D101" s="55"/>
      <c r="E101" s="55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1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3" t="str">
        <f>IF(B101="","",IF(B101*2=Setup!$F$12,"midstation row!",""))</f>
        <v/>
      </c>
    </row>
    <row r="102" spans="1:13" x14ac:dyDescent="0.2">
      <c r="A102" s="52">
        <f t="shared" si="11"/>
        <v>93</v>
      </c>
      <c r="B102" s="40" t="str">
        <f>IF(Setup!$F$12&gt;A102,B101+1,"")</f>
        <v/>
      </c>
      <c r="C102" s="54">
        <f t="shared" si="10"/>
        <v>94</v>
      </c>
      <c r="D102" s="55"/>
      <c r="E102" s="55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1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3" t="str">
        <f>IF(B102="","",IF(B102*2=Setup!$F$12,"midstation row!",""))</f>
        <v/>
      </c>
    </row>
    <row r="103" spans="1:13" x14ac:dyDescent="0.2">
      <c r="A103" s="52">
        <f t="shared" si="11"/>
        <v>94</v>
      </c>
      <c r="B103" s="40" t="str">
        <f>IF(Setup!$F$12&gt;A103,B102+1,"")</f>
        <v/>
      </c>
      <c r="C103" s="54">
        <f t="shared" si="10"/>
        <v>95</v>
      </c>
      <c r="D103" s="55"/>
      <c r="E103" s="55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1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3" t="str">
        <f>IF(B103="","",IF(B103*2=Setup!$F$12,"midstation row!",""))</f>
        <v/>
      </c>
    </row>
    <row r="104" spans="1:13" x14ac:dyDescent="0.2">
      <c r="A104" s="52">
        <f t="shared" si="11"/>
        <v>95</v>
      </c>
      <c r="B104" s="40" t="str">
        <f>IF(Setup!$F$12&gt;A104,B103+1,"")</f>
        <v/>
      </c>
      <c r="C104" s="54">
        <f t="shared" si="10"/>
        <v>96</v>
      </c>
      <c r="D104" s="55"/>
      <c r="E104" s="55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1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3" t="str">
        <f>IF(B104="","",IF(B104*2=Setup!$F$12,"midstation row!",""))</f>
        <v/>
      </c>
    </row>
    <row r="105" spans="1:13" x14ac:dyDescent="0.2">
      <c r="A105" s="52">
        <f t="shared" si="11"/>
        <v>96</v>
      </c>
      <c r="B105" s="40" t="str">
        <f>IF(Setup!$F$12&gt;A105,B104+1,"")</f>
        <v/>
      </c>
      <c r="C105" s="54">
        <f t="shared" si="10"/>
        <v>97</v>
      </c>
      <c r="D105" s="55"/>
      <c r="E105" s="55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1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3" t="str">
        <f>IF(B105="","",IF(B105*2=Setup!$F$12,"midstation row!",""))</f>
        <v/>
      </c>
    </row>
    <row r="106" spans="1:13" x14ac:dyDescent="0.2">
      <c r="A106" s="52">
        <f t="shared" si="11"/>
        <v>97</v>
      </c>
      <c r="B106" s="40" t="str">
        <f>IF(Setup!$F$12&gt;A106,B105+1,"")</f>
        <v/>
      </c>
      <c r="C106" s="54">
        <f t="shared" si="10"/>
        <v>98</v>
      </c>
      <c r="D106" s="55"/>
      <c r="E106" s="55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1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3" t="str">
        <f>IF(B106="","",IF(B106*2=Setup!$F$12,"midstation row!",""))</f>
        <v/>
      </c>
    </row>
    <row r="107" spans="1:13" x14ac:dyDescent="0.2">
      <c r="A107" s="52">
        <f t="shared" si="11"/>
        <v>98</v>
      </c>
      <c r="B107" s="40" t="str">
        <f>IF(Setup!$F$12&gt;A107,B106+1,"")</f>
        <v/>
      </c>
      <c r="C107" s="54">
        <f t="shared" si="10"/>
        <v>99</v>
      </c>
      <c r="D107" s="55"/>
      <c r="E107" s="55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1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3" t="str">
        <f>IF(B107="","",IF(B107*2=Setup!$F$12,"midstation row!",""))</f>
        <v/>
      </c>
    </row>
    <row r="108" spans="1:13" x14ac:dyDescent="0.2">
      <c r="A108" s="52">
        <f t="shared" si="11"/>
        <v>99</v>
      </c>
      <c r="B108" s="40" t="str">
        <f>IF(Setup!$F$12&gt;A108,B107+1,"")</f>
        <v/>
      </c>
      <c r="C108" s="54">
        <f t="shared" si="10"/>
        <v>100</v>
      </c>
      <c r="D108" s="55"/>
      <c r="E108" s="55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1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3" t="str">
        <f>IF(B108="","",IF(B108*2=Setup!$F$12,"midstation row!",""))</f>
        <v/>
      </c>
    </row>
  </sheetData>
  <sheetProtection sheet="1" selectLockedCells="1"/>
  <conditionalFormatting sqref="M10:M108">
    <cfRule type="cellIs" dxfId="50" priority="11" operator="equal">
      <formula>""</formula>
    </cfRule>
    <cfRule type="cellIs" dxfId="49" priority="12" operator="equal">
      <formula>"Midstation Row!"</formula>
    </cfRule>
  </conditionalFormatting>
  <conditionalFormatting sqref="L32:M108 J1:K3 B10:B108 F10:I108 L10:M28 M20:M108">
    <cfRule type="cellIs" dxfId="48" priority="10" operator="equal">
      <formula>""</formula>
    </cfRule>
  </conditionalFormatting>
  <conditionalFormatting sqref="J10:K109">
    <cfRule type="cellIs" dxfId="47" priority="9" operator="equal">
      <formula>""</formula>
    </cfRule>
  </conditionalFormatting>
  <conditionalFormatting sqref="D9:E9">
    <cfRule type="expression" dxfId="46" priority="8">
      <formula>$B9=""</formula>
    </cfRule>
  </conditionalFormatting>
  <conditionalFormatting sqref="D10:E108">
    <cfRule type="expression" dxfId="45" priority="7">
      <formula>$B10=""</formula>
    </cfRule>
  </conditionalFormatting>
  <conditionalFormatting sqref="I10">
    <cfRule type="expression" dxfId="44" priority="6">
      <formula>$M10="Midstation Row!"</formula>
    </cfRule>
  </conditionalFormatting>
  <conditionalFormatting sqref="I10:I108">
    <cfRule type="expression" dxfId="43" priority="5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0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4" x14ac:dyDescent="0.2">
      <c r="A1" s="83">
        <f>MAX(B:B)</f>
        <v>34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</row>
    <row r="3" spans="1:14" x14ac:dyDescent="0.2">
      <c r="A3" s="83"/>
      <c r="J3" s="154">
        <f>ABS(J1-J2)</f>
        <v>3601</v>
      </c>
      <c r="K3" s="155" t="s">
        <v>6</v>
      </c>
    </row>
    <row r="4" spans="1:14" ht="18.75" thickBot="1" x14ac:dyDescent="0.3">
      <c r="A4" s="83"/>
      <c r="G4" s="86" t="s">
        <v>61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-16.5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2'!J:J,MATCH(MAX('Line 2'!B:B),'Line 2'!B:B))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164</v>
      </c>
      <c r="J9" s="114">
        <f t="shared" ref="J9" si="0">IF(B9="","",I9+H9)</f>
        <v>164</v>
      </c>
      <c r="K9" s="115">
        <f t="shared" ref="K9:K72" si="1">IF(B9="","",ROUND(J9*$N$7,0))</f>
        <v>3280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IF(B10="","",IF(B10=Setup!$F$13,J10-H10,I11-$N$5))</f>
        <v>147.5</v>
      </c>
      <c r="J10" s="114">
        <f>IF(B10="","",IF(B10=Setup!$F$13,INDEX('Line 1'!J:J,MATCH(MAX('Line 1'!B:B),'Line 1'!B:B)),I10+H10))</f>
        <v>148.5</v>
      </c>
      <c r="K10" s="121">
        <f t="shared" si="1"/>
        <v>2970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IF(B11="","",IF(B11=Setup!$F$13,J11-H11,I12-$N$5))</f>
        <v>131</v>
      </c>
      <c r="J11" s="114">
        <f>IF(B11="","",IF(B11=Setup!$F$13,INDEX('Line 1'!J:J,MATCH(MAX('Line 1'!B:B),'Line 1'!B:B)),I11+H11))</f>
        <v>134</v>
      </c>
      <c r="K11" s="121">
        <f t="shared" si="1"/>
        <v>2680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6">A11+1</f>
        <v>3</v>
      </c>
      <c r="B12" s="108">
        <f>IF(Setup!$F$13&gt;A12,'Line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IF(B12="","",IF(B12=Setup!$F$13,J12-H12,I13-$N$5))</f>
        <v>114.5</v>
      </c>
      <c r="J12" s="114">
        <f>IF(B12="","",IF(B12=Setup!$F$13,INDEX('Line 1'!J:J,MATCH(MAX('Line 1'!B:B),'Line 1'!B:B)),I12+H12))</f>
        <v>120.5</v>
      </c>
      <c r="K12" s="121">
        <f t="shared" si="1"/>
        <v>2410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6"/>
        <v>4</v>
      </c>
      <c r="B13" s="108">
        <f>IF(Setup!$F$13&gt;A13,'Line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IF(B13="","",IF(B13=Setup!$F$13,J13-H13,I14-$N$5))</f>
        <v>98</v>
      </c>
      <c r="J13" s="114">
        <f>IF(B13="","",IF(B13=Setup!$F$13,INDEX('Line 1'!J:J,MATCH(MAX('Line 1'!B:B),'Line 1'!B:B)),I13+H13))</f>
        <v>108</v>
      </c>
      <c r="K13" s="121">
        <f t="shared" si="1"/>
        <v>2160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6"/>
        <v>5</v>
      </c>
      <c r="B14" s="108">
        <f>IF(Setup!$F$13&gt;A14,'Line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IF(B14="","",IF(B14=Setup!$F$13,J14-H14,I15-$N$5))</f>
        <v>81.5</v>
      </c>
      <c r="J14" s="114">
        <f>IF(B14="","",IF(B14=Setup!$F$13,INDEX('Line 1'!J:J,MATCH(MAX('Line 1'!B:B),'Line 1'!B:B)),I14+H14))</f>
        <v>96.5</v>
      </c>
      <c r="K14" s="121">
        <f t="shared" si="1"/>
        <v>1930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6"/>
        <v>6</v>
      </c>
      <c r="B15" s="108">
        <f>IF(Setup!$F$13&gt;A15,'Line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IF(B15="","",IF(B15=Setup!$F$13,J15-H15,I16-$N$5))</f>
        <v>65</v>
      </c>
      <c r="J15" s="114">
        <f>IF(B15="","",IF(B15=Setup!$F$13,INDEX('Line 1'!J:J,MATCH(MAX('Line 1'!B:B),'Line 1'!B:B)),I15+H15))</f>
        <v>86</v>
      </c>
      <c r="K15" s="121">
        <f t="shared" si="1"/>
        <v>1720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6"/>
        <v>7</v>
      </c>
      <c r="B16" s="108">
        <f>IF(Setup!$F$13&gt;A16,'Line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IF(B16="","",IF(B16=Setup!$F$13,J16-H16,I17-$N$5))</f>
        <v>48.5</v>
      </c>
      <c r="J16" s="114">
        <f>IF(B16="","",IF(B16=Setup!$F$13,INDEX('Line 1'!J:J,MATCH(MAX('Line 1'!B:B),'Line 1'!B:B)),I16+H16))</f>
        <v>76.5</v>
      </c>
      <c r="K16" s="121">
        <f t="shared" si="1"/>
        <v>1530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6"/>
        <v>8</v>
      </c>
      <c r="B17" s="108">
        <f>IF(Setup!$F$13&gt;A17,'Line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IF(B17="","",IF(B17=Setup!$F$13,J17-H17,I18-$N$5))</f>
        <v>32</v>
      </c>
      <c r="J17" s="114">
        <f>IF(B17="","",IF(B17=Setup!$F$13,INDEX('Line 1'!J:J,MATCH(MAX('Line 1'!B:B),'Line 1'!B:B)),I17+H17))</f>
        <v>68</v>
      </c>
      <c r="K17" s="121">
        <f t="shared" si="1"/>
        <v>1360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6"/>
        <v>9</v>
      </c>
      <c r="B18" s="108">
        <f>IF(Setup!$F$13&gt;A18,'Line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IF(B18="","",IF(B18=Setup!$F$13,J18-H18,I19-$N$5))</f>
        <v>15.5</v>
      </c>
      <c r="J18" s="114">
        <f>IF(B18="","",IF(B18=Setup!$F$13,INDEX('Line 1'!J:J,MATCH(MAX('Line 1'!B:B),'Line 1'!B:B)),I18+H18))</f>
        <v>60.5</v>
      </c>
      <c r="K18" s="121">
        <f t="shared" si="1"/>
        <v>1210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6"/>
        <v>10</v>
      </c>
      <c r="B19" s="108">
        <f>IF(Setup!$F$13&gt;A19,'Line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IF(B19="","",IF(B19=Setup!$F$13,J19-H19,I20-$N$5))</f>
        <v>-1</v>
      </c>
      <c r="J19" s="114">
        <f>IF(B19="","",IF(B19=Setup!$F$13,INDEX('Line 1'!J:J,MATCH(MAX('Line 1'!B:B),'Line 1'!B:B)),I19+H19))</f>
        <v>54</v>
      </c>
      <c r="K19" s="121">
        <f t="shared" si="1"/>
        <v>1080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6"/>
        <v>11</v>
      </c>
      <c r="B20" s="108">
        <f>IF(Setup!$F$13&gt;A20,'Line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IF(B20="","",IF(B20=Setup!$F$13,J20-H20,I21-$N$5))</f>
        <v>-17.5</v>
      </c>
      <c r="J20" s="114">
        <f>IF(B20="","",IF(B20=Setup!$F$13,INDEX('Line 1'!J:J,MATCH(MAX('Line 1'!B:B),'Line 1'!B:B)),I20+H20))</f>
        <v>48.5</v>
      </c>
      <c r="K20" s="121">
        <f t="shared" si="1"/>
        <v>970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6"/>
        <v>12</v>
      </c>
      <c r="B21" s="108">
        <f>IF(Setup!$F$13&gt;A21,'Line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IF(B21="","",IF(B21=Setup!$F$13,J21-H21,I22-$N$5))</f>
        <v>-34</v>
      </c>
      <c r="J21" s="114">
        <f>IF(B21="","",IF(B21=Setup!$F$13,INDEX('Line 1'!J:J,MATCH(MAX('Line 1'!B:B),'Line 1'!B:B)),I21+H21))</f>
        <v>44</v>
      </c>
      <c r="K21" s="121">
        <f t="shared" si="1"/>
        <v>880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6"/>
        <v>13</v>
      </c>
      <c r="B22" s="108">
        <f>IF(Setup!$F$13&gt;A22,'Line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IF(B22="","",IF(B22=Setup!$F$13,J22-H22,I23-$N$5))</f>
        <v>-50.5</v>
      </c>
      <c r="J22" s="114">
        <f>IF(B22="","",IF(B22=Setup!$F$13,INDEX('Line 1'!J:J,MATCH(MAX('Line 1'!B:B),'Line 1'!B:B)),I22+H22))</f>
        <v>40.5</v>
      </c>
      <c r="K22" s="121">
        <f t="shared" si="1"/>
        <v>810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6"/>
        <v>14</v>
      </c>
      <c r="B23" s="108">
        <f>IF(Setup!$F$13&gt;A23,'Line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IF(B23="","",IF(B23=Setup!$F$13,J23-H23,I24-$N$5))</f>
        <v>-67</v>
      </c>
      <c r="J23" s="114">
        <f>IF(B23="","",IF(B23=Setup!$F$13,INDEX('Line 1'!J:J,MATCH(MAX('Line 1'!B:B),'Line 1'!B:B)),I23+H23))</f>
        <v>38</v>
      </c>
      <c r="K23" s="121">
        <f t="shared" si="1"/>
        <v>760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6"/>
        <v>15</v>
      </c>
      <c r="B24" s="108">
        <f>IF(Setup!$F$13&gt;A24,'Line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IF(B24="","",IF(B24=Setup!$F$13,J24-H24,I25-$N$5))</f>
        <v>-83.5</v>
      </c>
      <c r="J24" s="114">
        <f>IF(B24="","",IF(B24=Setup!$F$13,INDEX('Line 1'!J:J,MATCH(MAX('Line 1'!B:B),'Line 1'!B:B)),I24+H24))</f>
        <v>36.5</v>
      </c>
      <c r="K24" s="121">
        <f t="shared" si="1"/>
        <v>730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6"/>
        <v>16</v>
      </c>
      <c r="B25" s="108">
        <f>IF(Setup!$F$13&gt;A25,'Line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IF(B25="","",IF(B25=Setup!$F$13,J25-H25,I26-$N$5))</f>
        <v>-100</v>
      </c>
      <c r="J25" s="114">
        <f>IF(B25="","",IF(B25=Setup!$F$13,INDEX('Line 1'!J:J,MATCH(MAX('Line 1'!B:B),'Line 1'!B:B)),I25+H25))</f>
        <v>36</v>
      </c>
      <c r="K25" s="121">
        <f t="shared" si="1"/>
        <v>720</v>
      </c>
      <c r="L25" s="124"/>
      <c r="M25" s="123" t="str">
        <f>IF(B25="","",IF(B25*2=Setup!$F$13,"midstation row!",""))</f>
        <v>midstation row!</v>
      </c>
    </row>
    <row r="26" spans="1:14" x14ac:dyDescent="0.2">
      <c r="A26" s="83">
        <f t="shared" si="6"/>
        <v>17</v>
      </c>
      <c r="B26" s="108">
        <f>IF(Setup!$F$13&gt;A26,'Line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IF(B26="","",IF(B26=Setup!$F$13,J26-H26,I27-$N$5))</f>
        <v>-116.5</v>
      </c>
      <c r="J26" s="114">
        <f>IF(B26="","",IF(B26=Setup!$F$13,INDEX('Line 1'!J:J,MATCH(MAX('Line 1'!B:B),'Line 1'!B:B)),I26+H26))</f>
        <v>36.5</v>
      </c>
      <c r="K26" s="121">
        <f t="shared" si="1"/>
        <v>730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6"/>
        <v>18</v>
      </c>
      <c r="B27" s="108">
        <f>IF(Setup!$F$13&gt;A27,'Line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IF(B27="","",IF(B27=Setup!$F$13,J27-H27,I28-$N$5))</f>
        <v>-133</v>
      </c>
      <c r="J27" s="114">
        <f>IF(B27="","",IF(B27=Setup!$F$13,INDEX('Line 1'!J:J,MATCH(MAX('Line 1'!B:B),'Line 1'!B:B)),I27+H27))</f>
        <v>38</v>
      </c>
      <c r="K27" s="121">
        <f t="shared" si="1"/>
        <v>760</v>
      </c>
      <c r="M27" s="123" t="str">
        <f>IF(B27="","",IF(B27*2=Setup!$F$13,"midstation row!",""))</f>
        <v/>
      </c>
    </row>
    <row r="28" spans="1:14" x14ac:dyDescent="0.2">
      <c r="A28" s="83">
        <f t="shared" si="6"/>
        <v>19</v>
      </c>
      <c r="B28" s="108">
        <f>IF(Setup!$F$13&gt;A28,'Line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-149.5</v>
      </c>
      <c r="J28" s="114">
        <f>IF(B28="","",IF(B28=Setup!$F$13,INDEX('Line 1'!J:J,MATCH(MAX('Line 1'!B:B),'Line 1'!B:B)),I28+H28))</f>
        <v>40.5</v>
      </c>
      <c r="K28" s="121">
        <f t="shared" si="1"/>
        <v>810</v>
      </c>
      <c r="M28" s="123" t="str">
        <f>IF(B28="","",IF(B28*2=Setup!$F$13,"midstation row!",""))</f>
        <v/>
      </c>
    </row>
    <row r="29" spans="1:14" x14ac:dyDescent="0.2">
      <c r="A29" s="83">
        <f t="shared" si="6"/>
        <v>20</v>
      </c>
      <c r="B29" s="108">
        <f>IF(Setup!$F$13&gt;A29,'Line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IF(B29="","",IF(B29=Setup!$F$13,J29-H29,I30-$N$5))</f>
        <v>-166</v>
      </c>
      <c r="J29" s="114">
        <f>IF(B29="","",IF(B29=Setup!$F$13,INDEX('Line 1'!J:J,MATCH(MAX('Line 1'!B:B),'Line 1'!B:B)),I29+H29))</f>
        <v>44</v>
      </c>
      <c r="K29" s="121">
        <f t="shared" si="1"/>
        <v>880</v>
      </c>
      <c r="M29" s="123" t="str">
        <f>IF(B29="","",IF(B29*2=Setup!$F$13,"midstation row!",""))</f>
        <v/>
      </c>
    </row>
    <row r="30" spans="1:14" x14ac:dyDescent="0.2">
      <c r="A30" s="83">
        <f t="shared" si="6"/>
        <v>21</v>
      </c>
      <c r="B30" s="108">
        <f>IF(Setup!$F$13&gt;A30,'Line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IF(B30="","",IF(B30=Setup!$F$13,J30-H30,I31-$N$5))</f>
        <v>-182.5</v>
      </c>
      <c r="J30" s="114">
        <f>IF(B30="","",IF(B30=Setup!$F$13,INDEX('Line 1'!J:J,MATCH(MAX('Line 1'!B:B),'Line 1'!B:B)),I30+H30))</f>
        <v>48.5</v>
      </c>
      <c r="K30" s="121">
        <f t="shared" si="1"/>
        <v>970</v>
      </c>
      <c r="M30" s="123" t="str">
        <f>IF(B30="","",IF(B30*2=Setup!$F$13,"midstation row!",""))</f>
        <v/>
      </c>
    </row>
    <row r="31" spans="1:14" x14ac:dyDescent="0.2">
      <c r="A31" s="83">
        <f t="shared" si="6"/>
        <v>22</v>
      </c>
      <c r="B31" s="108">
        <f>IF(Setup!$F$13&gt;A31,'Line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IF(B31="","",IF(B31=Setup!$F$13,J31-H31,I32-$N$5))</f>
        <v>-199</v>
      </c>
      <c r="J31" s="114">
        <f>IF(B31="","",IF(B31=Setup!$F$13,INDEX('Line 1'!J:J,MATCH(MAX('Line 1'!B:B),'Line 1'!B:B)),I31+H31))</f>
        <v>54</v>
      </c>
      <c r="K31" s="121">
        <f t="shared" si="1"/>
        <v>1080</v>
      </c>
      <c r="M31" s="123" t="str">
        <f>IF(B31="","",IF(B31*2=Setup!$F$13,"midstation row!",""))</f>
        <v/>
      </c>
    </row>
    <row r="32" spans="1:14" x14ac:dyDescent="0.2">
      <c r="A32" s="83">
        <f t="shared" si="6"/>
        <v>23</v>
      </c>
      <c r="B32" s="108">
        <f>IF(Setup!$F$13&gt;A32,'Line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IF(B32="","",IF(B32=Setup!$F$13,J32-H32,I33-$N$5))</f>
        <v>-215.5</v>
      </c>
      <c r="J32" s="114">
        <f>IF(B32="","",IF(B32=Setup!$F$13,INDEX('Line 1'!J:J,MATCH(MAX('Line 1'!B:B),'Line 1'!B:B)),I32+H32))</f>
        <v>60.5</v>
      </c>
      <c r="K32" s="121">
        <f t="shared" si="1"/>
        <v>1210</v>
      </c>
      <c r="M32" s="123" t="str">
        <f>IF(B32="","",IF(B32*2=Setup!$F$13,"midstation row!",""))</f>
        <v/>
      </c>
    </row>
    <row r="33" spans="1:13" x14ac:dyDescent="0.2">
      <c r="A33" s="83">
        <f t="shared" si="6"/>
        <v>24</v>
      </c>
      <c r="B33" s="108">
        <f>IF(Setup!$F$13&gt;A33,'Line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IF(B33="","",IF(B33=Setup!$F$13,J33-H33,I34-$N$5))</f>
        <v>-232</v>
      </c>
      <c r="J33" s="114">
        <f>IF(B33="","",IF(B33=Setup!$F$13,INDEX('Line 1'!J:J,MATCH(MAX('Line 1'!B:B),'Line 1'!B:B)),I33+H33))</f>
        <v>68</v>
      </c>
      <c r="K33" s="121">
        <f t="shared" si="1"/>
        <v>1360</v>
      </c>
      <c r="M33" s="123" t="str">
        <f>IF(B33="","",IF(B33*2=Setup!$F$13,"midstation row!",""))</f>
        <v/>
      </c>
    </row>
    <row r="34" spans="1:13" x14ac:dyDescent="0.2">
      <c r="A34" s="83">
        <f t="shared" si="6"/>
        <v>25</v>
      </c>
      <c r="B34" s="108">
        <f>IF(Setup!$F$13&gt;A34,'Line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IF(B34="","",IF(B34=Setup!$F$13,J34-H34,I35-$N$5))</f>
        <v>-248.5</v>
      </c>
      <c r="J34" s="114">
        <f>IF(B34="","",IF(B34=Setup!$F$13,INDEX('Line 1'!J:J,MATCH(MAX('Line 1'!B:B),'Line 1'!B:B)),I34+H34))</f>
        <v>76.5</v>
      </c>
      <c r="K34" s="121">
        <f t="shared" si="1"/>
        <v>1530</v>
      </c>
      <c r="M34" s="123" t="str">
        <f>IF(B34="","",IF(B34*2=Setup!$F$13,"midstation row!",""))</f>
        <v/>
      </c>
    </row>
    <row r="35" spans="1:13" x14ac:dyDescent="0.2">
      <c r="A35" s="83">
        <f t="shared" si="6"/>
        <v>26</v>
      </c>
      <c r="B35" s="108">
        <f>IF(Setup!$F$13&gt;A35,'Line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IF(B35="","",IF(B35=Setup!$F$13,J35-H35,I36-$N$5))</f>
        <v>-265</v>
      </c>
      <c r="J35" s="114">
        <f>IF(B35="","",IF(B35=Setup!$F$13,INDEX('Line 1'!J:J,MATCH(MAX('Line 1'!B:B),'Line 1'!B:B)),I35+H35))</f>
        <v>86</v>
      </c>
      <c r="K35" s="121">
        <f t="shared" si="1"/>
        <v>1720</v>
      </c>
      <c r="M35" s="123" t="str">
        <f>IF(B35="","",IF(B35*2=Setup!$F$13,"midstation row!",""))</f>
        <v/>
      </c>
    </row>
    <row r="36" spans="1:13" x14ac:dyDescent="0.2">
      <c r="A36" s="83">
        <f t="shared" si="6"/>
        <v>27</v>
      </c>
      <c r="B36" s="108">
        <f>IF(Setup!$F$13&gt;A36,'Line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IF(B36="","",IF(B36=Setup!$F$13,J36-H36,I37-$N$5))</f>
        <v>-281.5</v>
      </c>
      <c r="J36" s="114">
        <f>IF(B36="","",IF(B36=Setup!$F$13,INDEX('Line 1'!J:J,MATCH(MAX('Line 1'!B:B),'Line 1'!B:B)),I36+H36))</f>
        <v>96.5</v>
      </c>
      <c r="K36" s="121">
        <f t="shared" si="1"/>
        <v>1930</v>
      </c>
      <c r="M36" s="123" t="str">
        <f>IF(B36="","",IF(B36*2=Setup!$F$13,"midstation row!",""))</f>
        <v/>
      </c>
    </row>
    <row r="37" spans="1:13" x14ac:dyDescent="0.2">
      <c r="A37" s="83">
        <f t="shared" si="6"/>
        <v>28</v>
      </c>
      <c r="B37" s="108">
        <f>IF(Setup!$F$13&gt;A37,'Line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IF(B37="","",IF(B37=Setup!$F$13,J37-H37,I38-$N$5))</f>
        <v>-298</v>
      </c>
      <c r="J37" s="114">
        <f>IF(B37="","",IF(B37=Setup!$F$13,INDEX('Line 1'!J:J,MATCH(MAX('Line 1'!B:B),'Line 1'!B:B)),I37+H37))</f>
        <v>108</v>
      </c>
      <c r="K37" s="121">
        <f t="shared" si="1"/>
        <v>2160</v>
      </c>
      <c r="M37" s="123" t="str">
        <f>IF(B37="","",IF(B37*2=Setup!$F$13,"midstation row!",""))</f>
        <v/>
      </c>
    </row>
    <row r="38" spans="1:13" x14ac:dyDescent="0.2">
      <c r="A38" s="83">
        <f t="shared" si="6"/>
        <v>29</v>
      </c>
      <c r="B38" s="108">
        <f>IF(Setup!$F$13&gt;A38,'Line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IF(B38="","",IF(B38=Setup!$F$13,J38-H38,I39-$N$5))</f>
        <v>-314.5</v>
      </c>
      <c r="J38" s="114">
        <f>IF(B38="","",IF(B38=Setup!$F$13,INDEX('Line 1'!J:J,MATCH(MAX('Line 1'!B:B),'Line 1'!B:B)),I38+H38))</f>
        <v>120.5</v>
      </c>
      <c r="K38" s="121">
        <f t="shared" si="1"/>
        <v>2410</v>
      </c>
      <c r="M38" s="123" t="str">
        <f>IF(B38="","",IF(B38*2=Setup!$F$13,"midstation row!",""))</f>
        <v/>
      </c>
    </row>
    <row r="39" spans="1:13" x14ac:dyDescent="0.2">
      <c r="A39" s="83">
        <f t="shared" si="6"/>
        <v>30</v>
      </c>
      <c r="B39" s="108">
        <f>IF(Setup!$F$13&gt;A39,'Line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IF(B39="","",IF(B39=Setup!$F$13,J39-H39,I40-$N$5))</f>
        <v>-331</v>
      </c>
      <c r="J39" s="114">
        <f>IF(B39="","",IF(B39=Setup!$F$13,INDEX('Line 1'!J:J,MATCH(MAX('Line 1'!B:B),'Line 1'!B:B)),I39+H39))</f>
        <v>134</v>
      </c>
      <c r="K39" s="121">
        <f t="shared" si="1"/>
        <v>2680</v>
      </c>
      <c r="M39" s="123" t="str">
        <f>IF(B39="","",IF(B39*2=Setup!$F$13,"midstation row!",""))</f>
        <v/>
      </c>
    </row>
    <row r="40" spans="1:13" x14ac:dyDescent="0.2">
      <c r="A40" s="83">
        <f t="shared" si="6"/>
        <v>31</v>
      </c>
      <c r="B40" s="108">
        <f>IF(Setup!$F$13&gt;A40,'Line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IF(B40="","",IF(B40=Setup!$F$13,J40-H40,I41-$N$5))</f>
        <v>-347.5</v>
      </c>
      <c r="J40" s="114">
        <f>IF(B40="","",IF(B40=Setup!$F$13,INDEX('Line 1'!J:J,MATCH(MAX('Line 1'!B:B),'Line 1'!B:B)),I40+H40))</f>
        <v>148.5</v>
      </c>
      <c r="K40" s="121">
        <f t="shared" si="1"/>
        <v>2970</v>
      </c>
      <c r="M40" s="123" t="str">
        <f>IF(B40="","",IF(B40*2=Setup!$F$13,"midstation row!",""))</f>
        <v/>
      </c>
    </row>
    <row r="41" spans="1:13" x14ac:dyDescent="0.2">
      <c r="A41" s="83">
        <f t="shared" si="6"/>
        <v>32</v>
      </c>
      <c r="B41" s="108">
        <f>IF(Setup!$F$13&gt;A41,'Line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IF(B41="","",IF(B41=Setup!$F$13,J41-H41,I42-$N$5))</f>
        <v>-364</v>
      </c>
      <c r="J41" s="114">
        <f>IF(B41="","",IF(B41=Setup!$F$13,INDEX('Line 1'!J:J,MATCH(MAX('Line 1'!B:B),'Line 1'!B:B)),I41+H41))</f>
        <v>164</v>
      </c>
      <c r="K41" s="121">
        <f t="shared" si="1"/>
        <v>3280</v>
      </c>
      <c r="M41" s="123" t="str">
        <f>IF(B41="","",IF(B41*2=Setup!$F$13,"midstation row!",""))</f>
        <v/>
      </c>
    </row>
    <row r="42" spans="1:13" x14ac:dyDescent="0.2">
      <c r="A42" s="83">
        <f t="shared" si="6"/>
        <v>33</v>
      </c>
      <c r="B42" s="108">
        <f>IF(Setup!$F$13&gt;A42,'Line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IF(B42="","",IF(B42=Setup!$F$13,J42-H42,I43-$N$5))</f>
        <v>-380.5</v>
      </c>
      <c r="J42" s="114">
        <f>IF(B42="","",IF(B42=Setup!$F$13,INDEX('Line 1'!J:J,MATCH(MAX('Line 1'!B:B),'Line 1'!B:B)),I42+H42))</f>
        <v>180.5</v>
      </c>
      <c r="K42" s="121">
        <f t="shared" si="1"/>
        <v>3610</v>
      </c>
      <c r="M42" s="123" t="str">
        <f>IF(B42="","",IF(B42*2=Setup!$F$13,"midstation row!",""))</f>
        <v/>
      </c>
    </row>
    <row r="43" spans="1:13" x14ac:dyDescent="0.2">
      <c r="A43" s="83">
        <f t="shared" si="6"/>
        <v>34</v>
      </c>
      <c r="B43" s="108" t="str">
        <f>IF(Setup!$F$13&gt;A43,'Line 1'!B42+1,"")</f>
        <v/>
      </c>
      <c r="C43" s="54">
        <f t="shared" si="5"/>
        <v>35</v>
      </c>
      <c r="D43" s="55"/>
      <c r="E43" s="55"/>
      <c r="F43" s="113" t="str">
        <f t="shared" si="2"/>
        <v/>
      </c>
      <c r="G43" s="119" t="str">
        <f t="shared" si="3"/>
        <v/>
      </c>
      <c r="H43" s="113" t="str">
        <f t="shared" si="4"/>
        <v/>
      </c>
      <c r="I43" s="120" t="str">
        <f>IF(B43="","",IF(B43=Setup!$F$13,J43-H43,I44-$N$5))</f>
        <v/>
      </c>
      <c r="J43" s="114" t="str">
        <f>IF(B43="","",IF(B43=Setup!$F$13,INDEX('Line 1'!J:J,MATCH(MAX('Line 1'!B:B),'Line 1'!B:B)),I43+H43))</f>
        <v/>
      </c>
      <c r="K43" s="121" t="str">
        <f t="shared" si="1"/>
        <v/>
      </c>
      <c r="M43" s="123" t="str">
        <f>IF(B43="","",IF(B43*2=Setup!$F$13,"midstation row!",""))</f>
        <v/>
      </c>
    </row>
    <row r="44" spans="1:13" x14ac:dyDescent="0.2">
      <c r="A44" s="83">
        <f t="shared" si="6"/>
        <v>35</v>
      </c>
      <c r="B44" s="108" t="str">
        <f>IF(Setup!$F$13&gt;A44,'Line 1'!B43+1,"")</f>
        <v/>
      </c>
      <c r="C44" s="54">
        <f t="shared" si="5"/>
        <v>36</v>
      </c>
      <c r="D44" s="55"/>
      <c r="E44" s="55"/>
      <c r="F44" s="113" t="str">
        <f t="shared" si="2"/>
        <v/>
      </c>
      <c r="G44" s="119" t="str">
        <f t="shared" si="3"/>
        <v/>
      </c>
      <c r="H44" s="113" t="str">
        <f t="shared" si="4"/>
        <v/>
      </c>
      <c r="I44" s="120" t="str">
        <f>IF(B44="","",IF(B44=Setup!$F$13,J44-H44,I45-$N$5))</f>
        <v/>
      </c>
      <c r="J44" s="114" t="str">
        <f>IF(B44="","",IF(B44=Setup!$F$13,INDEX('Line 1'!J:J,MATCH(MAX('Line 1'!B:B),'Line 1'!B:B)),I44+H44))</f>
        <v/>
      </c>
      <c r="K44" s="121" t="str">
        <f t="shared" si="1"/>
        <v/>
      </c>
      <c r="M44" s="123" t="str">
        <f>IF(B44="","",IF(B44*2=Setup!$F$13,"midstation row!",""))</f>
        <v/>
      </c>
    </row>
    <row r="45" spans="1:13" x14ac:dyDescent="0.2">
      <c r="A45" s="83">
        <f t="shared" si="6"/>
        <v>36</v>
      </c>
      <c r="B45" s="108" t="str">
        <f>IF(Setup!$F$13&gt;A45,'Line 1'!B44+1,"")</f>
        <v/>
      </c>
      <c r="C45" s="54">
        <f t="shared" si="5"/>
        <v>37</v>
      </c>
      <c r="D45" s="55"/>
      <c r="E45" s="55"/>
      <c r="F45" s="113" t="str">
        <f t="shared" si="2"/>
        <v/>
      </c>
      <c r="G45" s="119" t="str">
        <f t="shared" si="3"/>
        <v/>
      </c>
      <c r="H45" s="113" t="str">
        <f t="shared" si="4"/>
        <v/>
      </c>
      <c r="I45" s="120" t="str">
        <f>IF(B45="","",IF(B45=Setup!$F$13,J45-H45,I46-$N$5))</f>
        <v/>
      </c>
      <c r="J45" s="114" t="str">
        <f>IF(B45="","",IF(B45=Setup!$F$13,INDEX('Line 1'!J:J,MATCH(MAX('Line 1'!B:B),'Line 1'!B:B)),I45+H45))</f>
        <v/>
      </c>
      <c r="K45" s="121" t="str">
        <f t="shared" si="1"/>
        <v/>
      </c>
      <c r="M45" s="123" t="str">
        <f>IF(B45="","",IF(B45*2=Setup!$F$13,"midstation row!",""))</f>
        <v/>
      </c>
    </row>
    <row r="46" spans="1:13" x14ac:dyDescent="0.2">
      <c r="A46" s="83">
        <f t="shared" si="6"/>
        <v>37</v>
      </c>
      <c r="B46" s="108" t="str">
        <f>IF(Setup!$F$13&gt;A46,'Line 1'!B45+1,"")</f>
        <v/>
      </c>
      <c r="C46" s="54">
        <f t="shared" si="5"/>
        <v>38</v>
      </c>
      <c r="D46" s="55"/>
      <c r="E46" s="55"/>
      <c r="F46" s="113" t="str">
        <f t="shared" si="2"/>
        <v/>
      </c>
      <c r="G46" s="119" t="str">
        <f t="shared" si="3"/>
        <v/>
      </c>
      <c r="H46" s="113" t="str">
        <f t="shared" si="4"/>
        <v/>
      </c>
      <c r="I46" s="120" t="str">
        <f>IF(B46="","",IF(B46=Setup!$F$13,J46-H46,I47-$N$5))</f>
        <v/>
      </c>
      <c r="J46" s="114" t="str">
        <f>IF(B46="","",IF(B46=Setup!$F$13,INDEX('Line 1'!J:J,MATCH(MAX('Line 1'!B:B),'Line 1'!B:B)),I46+H46))</f>
        <v/>
      </c>
      <c r="K46" s="121" t="str">
        <f t="shared" si="1"/>
        <v/>
      </c>
      <c r="M46" s="123" t="str">
        <f>IF(B46="","",IF(B46*2=Setup!$F$13,"midstation row!",""))</f>
        <v/>
      </c>
    </row>
    <row r="47" spans="1:13" x14ac:dyDescent="0.2">
      <c r="A47" s="83">
        <f t="shared" si="6"/>
        <v>38</v>
      </c>
      <c r="B47" s="108" t="str">
        <f>IF(Setup!$F$13&gt;A47,'Line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IF(B47="","",IF(B47=Setup!$F$13,J47-H47,I48-$N$5))</f>
        <v/>
      </c>
      <c r="J47" s="114" t="str">
        <f>IF(B47="","",IF(B47=Setup!$F$13,INDEX('Line 1'!J:J,MATCH(MAX('Line 1'!B:B),'Line 1'!B:B)),I47+H47))</f>
        <v/>
      </c>
      <c r="K47" s="121" t="str">
        <f t="shared" si="1"/>
        <v/>
      </c>
      <c r="M47" s="123" t="str">
        <f>IF(B47="","",IF(B47*2=Setup!$F$13,"midstation row!",""))</f>
        <v/>
      </c>
    </row>
    <row r="48" spans="1:13" x14ac:dyDescent="0.2">
      <c r="A48" s="83">
        <f t="shared" si="6"/>
        <v>39</v>
      </c>
      <c r="B48" s="108" t="str">
        <f>IF(Setup!$F$13&gt;A48,'Line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IF(B48="","",IF(B48=Setup!$F$13,J48-H48,I49-$N$5))</f>
        <v/>
      </c>
      <c r="J48" s="114" t="str">
        <f>IF(B48="","",IF(B48=Setup!$F$13,INDEX('Line 1'!J:J,MATCH(MAX('Line 1'!B:B),'Line 1'!B:B)),I48+H48))</f>
        <v/>
      </c>
      <c r="K48" s="121" t="str">
        <f t="shared" si="1"/>
        <v/>
      </c>
      <c r="M48" s="123" t="str">
        <f>IF(B48="","",IF(B48*2=Setup!$F$13,"midstation row!",""))</f>
        <v/>
      </c>
    </row>
    <row r="49" spans="1:13" x14ac:dyDescent="0.2">
      <c r="A49" s="83">
        <f t="shared" si="6"/>
        <v>40</v>
      </c>
      <c r="B49" s="108" t="str">
        <f>IF(Setup!$F$13&gt;A49,'Line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IF(B49="","",IF(B49=Setup!$F$13,J49-H49,I50-$N$5))</f>
        <v/>
      </c>
      <c r="J49" s="114" t="str">
        <f>IF(B49="","",IF(B49=Setup!$F$13,INDEX('Line 1'!J:J,MATCH(MAX('Line 1'!B:B),'Line 1'!B:B)),I49+H49))</f>
        <v/>
      </c>
      <c r="K49" s="121" t="str">
        <f t="shared" si="1"/>
        <v/>
      </c>
      <c r="M49" s="123" t="str">
        <f>IF(B49="","",IF(B49*2=Setup!$F$13,"midstation row!",""))</f>
        <v/>
      </c>
    </row>
    <row r="50" spans="1:13" x14ac:dyDescent="0.2">
      <c r="A50" s="83">
        <f t="shared" si="6"/>
        <v>41</v>
      </c>
      <c r="B50" s="108" t="str">
        <f>IF(Setup!$F$13&gt;A50,'Line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IF(B50="","",IF(B50=Setup!$F$13,J50-H50,I51-$N$5))</f>
        <v/>
      </c>
      <c r="J50" s="114" t="str">
        <f>IF(B50="","",IF(B50=Setup!$F$13,INDEX('Line 1'!J:J,MATCH(MAX('Line 1'!B:B),'Line 1'!B:B)),I50+H50))</f>
        <v/>
      </c>
      <c r="K50" s="121" t="str">
        <f t="shared" si="1"/>
        <v/>
      </c>
      <c r="M50" s="123" t="str">
        <f>IF(B50="","",IF(B50*2=Setup!$F$13,"midstation row!",""))</f>
        <v/>
      </c>
    </row>
    <row r="51" spans="1:13" x14ac:dyDescent="0.2">
      <c r="A51" s="83">
        <f t="shared" si="6"/>
        <v>42</v>
      </c>
      <c r="B51" s="108" t="str">
        <f>IF(Setup!$F$13&gt;A51,'Line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IF(B51="","",IF(B51=Setup!$F$13,J51-H51,I52-$N$5))</f>
        <v/>
      </c>
      <c r="J51" s="114" t="str">
        <f>IF(B51="","",IF(B51=Setup!$F$13,INDEX('Line 1'!J:J,MATCH(MAX('Line 1'!B:B),'Line 1'!B:B)),I51+H51))</f>
        <v/>
      </c>
      <c r="K51" s="121" t="str">
        <f t="shared" si="1"/>
        <v/>
      </c>
      <c r="M51" s="123" t="str">
        <f>IF(B51="","",IF(B51*2=Setup!$F$13,"midstation row!",""))</f>
        <v/>
      </c>
    </row>
    <row r="52" spans="1:13" x14ac:dyDescent="0.2">
      <c r="A52" s="83">
        <f t="shared" si="6"/>
        <v>43</v>
      </c>
      <c r="B52" s="108" t="str">
        <f>IF(Setup!$F$13&gt;A52,'Line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IF(B52="","",IF(B52=Setup!$F$13,J52-H52,I53-$N$5))</f>
        <v/>
      </c>
      <c r="J52" s="114" t="str">
        <f>IF(B52="","",IF(B52=Setup!$F$13,INDEX('Line 1'!J:J,MATCH(MAX('Line 1'!B:B),'Line 1'!B:B)),I52+H52))</f>
        <v/>
      </c>
      <c r="K52" s="121" t="str">
        <f t="shared" si="1"/>
        <v/>
      </c>
      <c r="M52" s="123" t="str">
        <f>IF(B52="","",IF(B52*2=Setup!$F$13,"midstation row!",""))</f>
        <v/>
      </c>
    </row>
    <row r="53" spans="1:13" x14ac:dyDescent="0.2">
      <c r="A53" s="83">
        <f t="shared" si="6"/>
        <v>44</v>
      </c>
      <c r="B53" s="108" t="str">
        <f>IF(Setup!$F$13&gt;A53,'Line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IF(B53="","",IF(B53=Setup!$F$13,J53-H53,I54-$N$5))</f>
        <v/>
      </c>
      <c r="J53" s="114" t="str">
        <f>IF(B53="","",IF(B53=Setup!$F$13,INDEX('Line 1'!J:J,MATCH(MAX('Line 1'!B:B),'Line 1'!B:B)),I53+H53))</f>
        <v/>
      </c>
      <c r="K53" s="121" t="str">
        <f t="shared" si="1"/>
        <v/>
      </c>
      <c r="M53" s="123" t="str">
        <f>IF(B53="","",IF(B53*2=Setup!$F$13,"midstation row!",""))</f>
        <v/>
      </c>
    </row>
    <row r="54" spans="1:13" x14ac:dyDescent="0.2">
      <c r="A54" s="83">
        <f t="shared" si="6"/>
        <v>45</v>
      </c>
      <c r="B54" s="108" t="str">
        <f>IF(Setup!$F$13&gt;A54,'Line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IF(B54="","",IF(B54=Setup!$F$13,J54-H54,I55-$N$5))</f>
        <v/>
      </c>
      <c r="J54" s="114" t="str">
        <f>IF(B54="","",IF(B54=Setup!$F$13,INDEX('Line 1'!J:J,MATCH(MAX('Line 1'!B:B),'Line 1'!B:B)),I54+H54))</f>
        <v/>
      </c>
      <c r="K54" s="121" t="str">
        <f t="shared" si="1"/>
        <v/>
      </c>
      <c r="M54" s="123" t="str">
        <f>IF(B54="","",IF(B54*2=Setup!$F$13,"midstation row!",""))</f>
        <v/>
      </c>
    </row>
    <row r="55" spans="1:13" x14ac:dyDescent="0.2">
      <c r="A55" s="83">
        <f t="shared" si="6"/>
        <v>46</v>
      </c>
      <c r="B55" s="108" t="str">
        <f>IF(Setup!$F$13&gt;A55,'Line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IF(B55="","",IF(B55=Setup!$F$13,J55-H55,I56-$N$5))</f>
        <v/>
      </c>
      <c r="J55" s="114" t="str">
        <f>IF(B55="","",IF(B55=Setup!$F$13,INDEX('Line 1'!J:J,MATCH(MAX('Line 1'!B:B),'Line 1'!B:B)),I55+H55))</f>
        <v/>
      </c>
      <c r="K55" s="121" t="str">
        <f t="shared" si="1"/>
        <v/>
      </c>
      <c r="M55" s="123" t="str">
        <f>IF(B55="","",IF(B55*2=Setup!$F$13,"midstation row!",""))</f>
        <v/>
      </c>
    </row>
    <row r="56" spans="1:13" x14ac:dyDescent="0.2">
      <c r="A56" s="83">
        <f t="shared" si="6"/>
        <v>47</v>
      </c>
      <c r="B56" s="108" t="str">
        <f>IF(Setup!$F$13&gt;A56,'Line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IF(B56="","",IF(B56=Setup!$F$13,J56-H56,I57-$N$5))</f>
        <v/>
      </c>
      <c r="J56" s="114" t="str">
        <f>IF(B56="","",IF(B56=Setup!$F$13,INDEX('Line 1'!J:J,MATCH(MAX('Line 1'!B:B),'Line 1'!B:B)),I56+H56))</f>
        <v/>
      </c>
      <c r="K56" s="121" t="str">
        <f t="shared" si="1"/>
        <v/>
      </c>
      <c r="M56" s="123" t="str">
        <f>IF(B56="","",IF(B56*2=Setup!$F$13,"midstation row!",""))</f>
        <v/>
      </c>
    </row>
    <row r="57" spans="1:13" x14ac:dyDescent="0.2">
      <c r="A57" s="83">
        <f t="shared" si="6"/>
        <v>48</v>
      </c>
      <c r="B57" s="108" t="str">
        <f>IF(Setup!$F$13&gt;A57,'Line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IF(B57="","",IF(B57=Setup!$F$13,J57-H57,I58-$N$5))</f>
        <v/>
      </c>
      <c r="J57" s="114" t="str">
        <f>IF(B57="","",IF(B57=Setup!$F$13,INDEX('Line 1'!J:J,MATCH(MAX('Line 1'!B:B),'Line 1'!B:B)),I57+H57))</f>
        <v/>
      </c>
      <c r="K57" s="121" t="str">
        <f t="shared" si="1"/>
        <v/>
      </c>
      <c r="M57" s="123" t="str">
        <f>IF(B57="","",IF(B57*2=Setup!$F$13,"midstation row!",""))</f>
        <v/>
      </c>
    </row>
    <row r="58" spans="1:13" x14ac:dyDescent="0.2">
      <c r="A58" s="83">
        <f t="shared" si="6"/>
        <v>49</v>
      </c>
      <c r="B58" s="108" t="str">
        <f>IF(Setup!$F$13&gt;A58,'Line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IF(B58="","",IF(B58=Setup!$F$13,J58-H58,I59-$N$5))</f>
        <v/>
      </c>
      <c r="J58" s="114" t="str">
        <f>IF(B58="","",IF(B58=Setup!$F$13,INDEX('Line 1'!J:J,MATCH(MAX('Line 1'!B:B),'Line 1'!B:B)),I58+H58))</f>
        <v/>
      </c>
      <c r="K58" s="121" t="str">
        <f t="shared" si="1"/>
        <v/>
      </c>
      <c r="M58" s="123" t="str">
        <f>IF(B58="","",IF(B58*2=Setup!$F$13,"midstation row!",""))</f>
        <v/>
      </c>
    </row>
    <row r="59" spans="1:13" x14ac:dyDescent="0.2">
      <c r="A59" s="83">
        <f t="shared" si="6"/>
        <v>50</v>
      </c>
      <c r="B59" s="108" t="str">
        <f>IF(Setup!$F$13&gt;A59,'Line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IF(B59="","",IF(B59=Setup!$F$13,J59-H59,I60-$N$5))</f>
        <v/>
      </c>
      <c r="J59" s="114" t="str">
        <f>IF(B59="","",IF(B59=Setup!$F$13,INDEX('Line 1'!J:J,MATCH(MAX('Line 1'!B:B),'Line 1'!B:B)),I59+H59))</f>
        <v/>
      </c>
      <c r="K59" s="121" t="str">
        <f t="shared" si="1"/>
        <v/>
      </c>
      <c r="M59" s="123" t="str">
        <f>IF(B59="","",IF(B59*2=Setup!$F$13,"midstation row!",""))</f>
        <v/>
      </c>
    </row>
    <row r="60" spans="1:13" x14ac:dyDescent="0.2">
      <c r="A60" s="83">
        <f t="shared" si="6"/>
        <v>51</v>
      </c>
      <c r="B60" s="108" t="str">
        <f>IF(Setup!$F$13&gt;A60,'Line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IF(B60="","",IF(B60=Setup!$F$13,J60-H60,I61-$N$5))</f>
        <v/>
      </c>
      <c r="J60" s="114" t="str">
        <f>IF(B60="","",IF(B60=Setup!$F$13,INDEX('Line 1'!J:J,MATCH(MAX('Line 1'!B:B),'Line 1'!B:B)),I60+H60))</f>
        <v/>
      </c>
      <c r="K60" s="121" t="str">
        <f t="shared" si="1"/>
        <v/>
      </c>
      <c r="M60" s="123" t="str">
        <f>IF(B60="","",IF(B60*2=Setup!$F$13,"midstation row!",""))</f>
        <v/>
      </c>
    </row>
    <row r="61" spans="1:13" x14ac:dyDescent="0.2">
      <c r="A61" s="83">
        <f t="shared" si="6"/>
        <v>52</v>
      </c>
      <c r="B61" s="108" t="str">
        <f>IF(Setup!$F$13&gt;A61,'Line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IF(B61="","",IF(B61=Setup!$F$13,J61-H61,I62-$N$5))</f>
        <v/>
      </c>
      <c r="J61" s="114" t="str">
        <f>IF(B61="","",IF(B61=Setup!$F$13,INDEX('Line 1'!J:J,MATCH(MAX('Line 1'!B:B),'Line 1'!B:B)),I61+H61))</f>
        <v/>
      </c>
      <c r="K61" s="121" t="str">
        <f t="shared" si="1"/>
        <v/>
      </c>
      <c r="M61" s="123" t="str">
        <f>IF(B61="","",IF(B61*2=Setup!$F$13,"midstation row!",""))</f>
        <v/>
      </c>
    </row>
    <row r="62" spans="1:13" x14ac:dyDescent="0.2">
      <c r="A62" s="83">
        <f t="shared" si="6"/>
        <v>53</v>
      </c>
      <c r="B62" s="108" t="str">
        <f>IF(Setup!$F$13&gt;A62,'Line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IF(B62="","",IF(B62=Setup!$F$13,J62-H62,I63-$N$5))</f>
        <v/>
      </c>
      <c r="J62" s="114" t="str">
        <f>IF(B62="","",IF(B62=Setup!$F$13,INDEX('Line 1'!J:J,MATCH(MAX('Line 1'!B:B),'Line 1'!B:B)),I62+H62))</f>
        <v/>
      </c>
      <c r="K62" s="121" t="str">
        <f t="shared" si="1"/>
        <v/>
      </c>
      <c r="M62" s="123" t="str">
        <f>IF(B62="","",IF(B62*2=Setup!$F$13,"midstation row!",""))</f>
        <v/>
      </c>
    </row>
    <row r="63" spans="1:13" x14ac:dyDescent="0.2">
      <c r="A63" s="83">
        <f t="shared" si="6"/>
        <v>54</v>
      </c>
      <c r="B63" s="108" t="str">
        <f>IF(Setup!$F$13&gt;A63,'Line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IF(B63="","",IF(B63=Setup!$F$13,J63-H63,I64-$N$5))</f>
        <v/>
      </c>
      <c r="J63" s="114" t="str">
        <f>IF(B63="","",IF(B63=Setup!$F$13,INDEX('Line 1'!J:J,MATCH(MAX('Line 1'!B:B),'Line 1'!B:B)),I63+H63))</f>
        <v/>
      </c>
      <c r="K63" s="121" t="str">
        <f t="shared" si="1"/>
        <v/>
      </c>
      <c r="M63" s="123" t="str">
        <f>IF(B63="","",IF(B63*2=Setup!$F$13,"midstation row!",""))</f>
        <v/>
      </c>
    </row>
    <row r="64" spans="1:13" x14ac:dyDescent="0.2">
      <c r="A64" s="83">
        <f t="shared" si="6"/>
        <v>55</v>
      </c>
      <c r="B64" s="108" t="str">
        <f>IF(Setup!$F$13&gt;A64,'Line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IF(B64="","",IF(B64=Setup!$F$13,J64-H64,I65-$N$5))</f>
        <v/>
      </c>
      <c r="J64" s="114" t="str">
        <f>IF(B64="","",IF(B64=Setup!$F$13,INDEX('Line 1'!J:J,MATCH(MAX('Line 1'!B:B),'Line 1'!B:B)),I64+H64))</f>
        <v/>
      </c>
      <c r="K64" s="121" t="str">
        <f t="shared" si="1"/>
        <v/>
      </c>
      <c r="M64" s="123" t="str">
        <f>IF(B64="","",IF(B64*2=Setup!$F$13,"midstation row!",""))</f>
        <v/>
      </c>
    </row>
    <row r="65" spans="1:13" x14ac:dyDescent="0.2">
      <c r="A65" s="83">
        <f t="shared" si="6"/>
        <v>56</v>
      </c>
      <c r="B65" s="108" t="str">
        <f>IF(Setup!$F$13&gt;A65,'Line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IF(B65="","",IF(B65=Setup!$F$13,J65-H65,I66-$N$5))</f>
        <v/>
      </c>
      <c r="J65" s="114" t="str">
        <f>IF(B65="","",IF(B65=Setup!$F$13,INDEX('Line 1'!J:J,MATCH(MAX('Line 1'!B:B),'Line 1'!B:B)),I65+H65))</f>
        <v/>
      </c>
      <c r="K65" s="121" t="str">
        <f t="shared" si="1"/>
        <v/>
      </c>
      <c r="M65" s="123" t="str">
        <f>IF(B65="","",IF(B65*2=Setup!$F$13,"midstation row!",""))</f>
        <v/>
      </c>
    </row>
    <row r="66" spans="1:13" x14ac:dyDescent="0.2">
      <c r="A66" s="83">
        <f t="shared" si="6"/>
        <v>57</v>
      </c>
      <c r="B66" s="108" t="str">
        <f>IF(Setup!$F$13&gt;A66,'Line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IF(B66="","",IF(B66=Setup!$F$13,J66-H66,I67-$N$5))</f>
        <v/>
      </c>
      <c r="J66" s="114" t="str">
        <f>IF(B66="","",IF(B66=Setup!$F$13,INDEX('Line 1'!J:J,MATCH(MAX('Line 1'!B:B),'Line 1'!B:B)),I66+H66))</f>
        <v/>
      </c>
      <c r="K66" s="121" t="str">
        <f t="shared" si="1"/>
        <v/>
      </c>
      <c r="M66" s="123" t="str">
        <f>IF(B66="","",IF(B66*2=Setup!$F$13,"midstation row!",""))</f>
        <v/>
      </c>
    </row>
    <row r="67" spans="1:13" x14ac:dyDescent="0.2">
      <c r="A67" s="83">
        <f t="shared" si="6"/>
        <v>58</v>
      </c>
      <c r="B67" s="108" t="str">
        <f>IF(Setup!$F$13&gt;A67,'Line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IF(B67="","",IF(B67=Setup!$F$13,J67-H67,I68-$N$5))</f>
        <v/>
      </c>
      <c r="J67" s="114" t="str">
        <f>IF(B67="","",IF(B67=Setup!$F$13,INDEX('Line 1'!J:J,MATCH(MAX('Line 1'!B:B),'Line 1'!B:B)),I67+H67))</f>
        <v/>
      </c>
      <c r="K67" s="121" t="str">
        <f t="shared" si="1"/>
        <v/>
      </c>
      <c r="M67" s="123" t="str">
        <f>IF(B67="","",IF(B67*2=Setup!$F$13,"midstation row!",""))</f>
        <v/>
      </c>
    </row>
    <row r="68" spans="1:13" x14ac:dyDescent="0.2">
      <c r="A68" s="83">
        <f t="shared" si="6"/>
        <v>59</v>
      </c>
      <c r="B68" s="108" t="str">
        <f>IF(Setup!$F$13&gt;A68,'Line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IF(B68="","",IF(B68=Setup!$F$13,J68-H68,I69-$N$5))</f>
        <v/>
      </c>
      <c r="J68" s="114" t="str">
        <f>IF(B68="","",IF(B68=Setup!$F$13,INDEX('Line 1'!J:J,MATCH(MAX('Line 1'!B:B),'Line 1'!B:B)),I68+H68))</f>
        <v/>
      </c>
      <c r="K68" s="121" t="str">
        <f t="shared" si="1"/>
        <v/>
      </c>
      <c r="M68" s="123" t="str">
        <f>IF(B68="","",IF(B68*2=Setup!$F$13,"midstation row!",""))</f>
        <v/>
      </c>
    </row>
    <row r="69" spans="1:13" x14ac:dyDescent="0.2">
      <c r="A69" s="83">
        <f t="shared" si="6"/>
        <v>60</v>
      </c>
      <c r="B69" s="108" t="str">
        <f>IF(Setup!$F$13&gt;A69,'Line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IF(B69="","",IF(B69=Setup!$F$13,J69-H69,I70-$N$5))</f>
        <v/>
      </c>
      <c r="J69" s="114" t="str">
        <f>IF(B69="","",IF(B69=Setup!$F$13,INDEX('Line 1'!J:J,MATCH(MAX('Line 1'!B:B),'Line 1'!B:B)),I69+H69))</f>
        <v/>
      </c>
      <c r="K69" s="121" t="str">
        <f t="shared" si="1"/>
        <v/>
      </c>
      <c r="M69" s="123" t="str">
        <f>IF(B69="","",IF(B69*2=Setup!$F$13,"midstation row!",""))</f>
        <v/>
      </c>
    </row>
    <row r="70" spans="1:13" x14ac:dyDescent="0.2">
      <c r="A70" s="83">
        <f t="shared" si="6"/>
        <v>61</v>
      </c>
      <c r="B70" s="108" t="str">
        <f>IF(Setup!$F$13&gt;A70,'Line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IF(B70="","",IF(B70=Setup!$F$13,J70-H70,I71-$N$5))</f>
        <v/>
      </c>
      <c r="J70" s="114" t="str">
        <f>IF(B70="","",IF(B70=Setup!$F$13,INDEX('Line 1'!J:J,MATCH(MAX('Line 1'!B:B),'Line 1'!B:B)),I70+H70))</f>
        <v/>
      </c>
      <c r="K70" s="121" t="str">
        <f t="shared" si="1"/>
        <v/>
      </c>
      <c r="M70" s="123" t="str">
        <f>IF(B70="","",IF(B70*2=Setup!$F$13,"midstation row!",""))</f>
        <v/>
      </c>
    </row>
    <row r="71" spans="1:13" x14ac:dyDescent="0.2">
      <c r="A71" s="83">
        <f t="shared" si="6"/>
        <v>62</v>
      </c>
      <c r="B71" s="108" t="str">
        <f>IF(Setup!$F$13&gt;A71,'Line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IF(B71="","",IF(B71=Setup!$F$13,J71-H71,I72-$N$5))</f>
        <v/>
      </c>
      <c r="J71" s="114" t="str">
        <f>IF(B71="","",IF(B71=Setup!$F$13,INDEX('Line 1'!J:J,MATCH(MAX('Line 1'!B:B),'Line 1'!B:B)),I71+H71))</f>
        <v/>
      </c>
      <c r="K71" s="121" t="str">
        <f t="shared" si="1"/>
        <v/>
      </c>
      <c r="M71" s="123" t="str">
        <f>IF(B71="","",IF(B71*2=Setup!$F$13,"midstation row!",""))</f>
        <v/>
      </c>
    </row>
    <row r="72" spans="1:13" x14ac:dyDescent="0.2">
      <c r="A72" s="83">
        <f t="shared" si="6"/>
        <v>63</v>
      </c>
      <c r="B72" s="108" t="str">
        <f>IF(Setup!$F$13&gt;A72,'Line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IF(B72="","",IF(B72=Setup!$F$13,J72-H72,I73-$N$5))</f>
        <v/>
      </c>
      <c r="J72" s="114" t="str">
        <f>IF(B72="","",IF(B72=Setup!$F$13,INDEX('Line 1'!J:J,MATCH(MAX('Line 1'!B:B),'Line 1'!B:B)),I72+H72))</f>
        <v/>
      </c>
      <c r="K72" s="121" t="str">
        <f t="shared" si="1"/>
        <v/>
      </c>
      <c r="M72" s="123" t="str">
        <f>IF(B72="","",IF(B72*2=Setup!$F$13,"midstation row!",""))</f>
        <v/>
      </c>
    </row>
    <row r="73" spans="1:13" x14ac:dyDescent="0.2">
      <c r="A73" s="83">
        <f t="shared" si="6"/>
        <v>64</v>
      </c>
      <c r="B73" s="108" t="str">
        <f>IF(Setup!$F$13&gt;A73,'Line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IF(B73="","",IF(B73=Setup!$F$13,J73-H73,I74-$N$5))</f>
        <v/>
      </c>
      <c r="J73" s="114" t="str">
        <f>IF(B73="","",IF(B73=Setup!$F$13,INDEX('Line 1'!J:J,MATCH(MAX('Line 1'!B:B),'Line 1'!B:B)),I73+H73))</f>
        <v/>
      </c>
      <c r="K73" s="121" t="str">
        <f t="shared" ref="K73:K108" si="7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6"/>
        <v>65</v>
      </c>
      <c r="B74" s="108" t="str">
        <f>IF(Setup!$F$13&gt;A74,'Line 1'!B73+1,"")</f>
        <v/>
      </c>
      <c r="C74" s="54">
        <f t="shared" si="5"/>
        <v>66</v>
      </c>
      <c r="D74" s="55"/>
      <c r="E74" s="55"/>
      <c r="F74" s="113" t="str">
        <f t="shared" ref="F74:F108" si="8">IF(B74="","",AVERAGE(C74:E74))</f>
        <v/>
      </c>
      <c r="G74" s="119" t="str">
        <f t="shared" ref="G74:G108" si="9">IF(B74="","",F74-$F$9)</f>
        <v/>
      </c>
      <c r="H74" s="113" t="str">
        <f t="shared" ref="H74:H108" si="10">IF(B74="","",H73+G74)</f>
        <v/>
      </c>
      <c r="I74" s="120" t="str">
        <f>IF(B74="","",IF(B74=Setup!$F$13,J74-H74,I75-$N$5))</f>
        <v/>
      </c>
      <c r="J74" s="114" t="str">
        <f>IF(B74="","",IF(B74=Setup!$F$13,INDEX('Line 1'!J:J,MATCH(MAX('Line 1'!B:B),'Line 1'!B:B)),I74+H74))</f>
        <v/>
      </c>
      <c r="K74" s="121" t="str">
        <f t="shared" si="7"/>
        <v/>
      </c>
      <c r="M74" s="123" t="str">
        <f>IF(B74="","",IF(B74*2=Setup!$F$13,"midstation row!",""))</f>
        <v/>
      </c>
    </row>
    <row r="75" spans="1:13" x14ac:dyDescent="0.2">
      <c r="A75" s="83">
        <f t="shared" si="6"/>
        <v>66</v>
      </c>
      <c r="B75" s="108" t="str">
        <f>IF(Setup!$F$13&gt;A75,'Line 1'!B74+1,"")</f>
        <v/>
      </c>
      <c r="C75" s="54">
        <f t="shared" ref="C75:C108" si="11">C74+$C$9</f>
        <v>67</v>
      </c>
      <c r="D75" s="55"/>
      <c r="E75" s="55"/>
      <c r="F75" s="113" t="str">
        <f t="shared" si="8"/>
        <v/>
      </c>
      <c r="G75" s="119" t="str">
        <f t="shared" si="9"/>
        <v/>
      </c>
      <c r="H75" s="113" t="str">
        <f t="shared" si="10"/>
        <v/>
      </c>
      <c r="I75" s="120" t="str">
        <f>IF(B75="","",IF(B75=Setup!$F$13,J75-H75,I76-$N$5))</f>
        <v/>
      </c>
      <c r="J75" s="114" t="str">
        <f>IF(B75="","",IF(B75=Setup!$F$13,INDEX('Line 1'!J:J,MATCH(MAX('Line 1'!B:B),'Line 1'!B:B)),I75+H75))</f>
        <v/>
      </c>
      <c r="K75" s="121" t="str">
        <f t="shared" si="7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2">A75+1</f>
        <v>67</v>
      </c>
      <c r="B76" s="108" t="str">
        <f>IF(Setup!$F$13&gt;A76,'Line 1'!B75+1,"")</f>
        <v/>
      </c>
      <c r="C76" s="54">
        <f t="shared" si="11"/>
        <v>68</v>
      </c>
      <c r="D76" s="55"/>
      <c r="E76" s="55"/>
      <c r="F76" s="113" t="str">
        <f t="shared" si="8"/>
        <v/>
      </c>
      <c r="G76" s="119" t="str">
        <f t="shared" si="9"/>
        <v/>
      </c>
      <c r="H76" s="113" t="str">
        <f t="shared" si="10"/>
        <v/>
      </c>
      <c r="I76" s="120" t="str">
        <f>IF(B76="","",IF(B76=Setup!$F$13,J76-H76,I77-$N$5))</f>
        <v/>
      </c>
      <c r="J76" s="114" t="str">
        <f>IF(B76="","",IF(B76=Setup!$F$13,INDEX('Line 1'!J:J,MATCH(MAX('Line 1'!B:B),'Line 1'!B:B)),I76+H76))</f>
        <v/>
      </c>
      <c r="K76" s="121" t="str">
        <f t="shared" si="7"/>
        <v/>
      </c>
      <c r="M76" s="123" t="str">
        <f>IF(B76="","",IF(B76*2=Setup!$F$13,"midstation row!",""))</f>
        <v/>
      </c>
    </row>
    <row r="77" spans="1:13" x14ac:dyDescent="0.2">
      <c r="A77" s="83">
        <f t="shared" si="12"/>
        <v>68</v>
      </c>
      <c r="B77" s="108" t="str">
        <f>IF(Setup!$F$13&gt;A77,'Line 1'!B76+1,"")</f>
        <v/>
      </c>
      <c r="C77" s="54">
        <f t="shared" si="11"/>
        <v>69</v>
      </c>
      <c r="D77" s="55"/>
      <c r="E77" s="55"/>
      <c r="F77" s="113" t="str">
        <f t="shared" si="8"/>
        <v/>
      </c>
      <c r="G77" s="119" t="str">
        <f t="shared" si="9"/>
        <v/>
      </c>
      <c r="H77" s="113" t="str">
        <f t="shared" si="10"/>
        <v/>
      </c>
      <c r="I77" s="120" t="str">
        <f>IF(B77="","",IF(B77=Setup!$F$13,J77-H77,I78-$N$5))</f>
        <v/>
      </c>
      <c r="J77" s="114" t="str">
        <f>IF(B77="","",IF(B77=Setup!$F$13,INDEX('Line 1'!J:J,MATCH(MAX('Line 1'!B:B),'Line 1'!B:B)),I77+H77))</f>
        <v/>
      </c>
      <c r="K77" s="121" t="str">
        <f t="shared" si="7"/>
        <v/>
      </c>
      <c r="M77" s="123" t="str">
        <f>IF(B77="","",IF(B77*2=Setup!$F$13,"midstation row!",""))</f>
        <v/>
      </c>
    </row>
    <row r="78" spans="1:13" x14ac:dyDescent="0.2">
      <c r="A78" s="83">
        <f t="shared" si="12"/>
        <v>69</v>
      </c>
      <c r="B78" s="108" t="str">
        <f>IF(Setup!$F$13&gt;A78,'Line 1'!B77+1,"")</f>
        <v/>
      </c>
      <c r="C78" s="54">
        <f t="shared" si="11"/>
        <v>70</v>
      </c>
      <c r="D78" s="55"/>
      <c r="E78" s="55"/>
      <c r="F78" s="113" t="str">
        <f t="shared" si="8"/>
        <v/>
      </c>
      <c r="G78" s="119" t="str">
        <f t="shared" si="9"/>
        <v/>
      </c>
      <c r="H78" s="113" t="str">
        <f t="shared" si="10"/>
        <v/>
      </c>
      <c r="I78" s="120" t="str">
        <f>IF(B78="","",IF(B78=Setup!$F$13,J78-H78,I79-$N$5))</f>
        <v/>
      </c>
      <c r="J78" s="114" t="str">
        <f>IF(B78="","",IF(B78=Setup!$F$13,INDEX('Line 1'!J:J,MATCH(MAX('Line 1'!B:B),'Line 1'!B:B)),I78+H78))</f>
        <v/>
      </c>
      <c r="K78" s="121" t="str">
        <f t="shared" si="7"/>
        <v/>
      </c>
      <c r="M78" s="123" t="str">
        <f>IF(B78="","",IF(B78*2=Setup!$F$13,"midstation row!",""))</f>
        <v/>
      </c>
    </row>
    <row r="79" spans="1:13" x14ac:dyDescent="0.2">
      <c r="A79" s="83">
        <f t="shared" si="12"/>
        <v>70</v>
      </c>
      <c r="B79" s="108" t="str">
        <f>IF(Setup!$F$13&gt;A79,'Line 1'!B78+1,"")</f>
        <v/>
      </c>
      <c r="C79" s="54">
        <f t="shared" si="11"/>
        <v>71</v>
      </c>
      <c r="D79" s="55"/>
      <c r="E79" s="55"/>
      <c r="F79" s="113" t="str">
        <f t="shared" si="8"/>
        <v/>
      </c>
      <c r="G79" s="119" t="str">
        <f t="shared" si="9"/>
        <v/>
      </c>
      <c r="H79" s="113" t="str">
        <f t="shared" si="10"/>
        <v/>
      </c>
      <c r="I79" s="120" t="str">
        <f>IF(B79="","",IF(B79=Setup!$F$13,J79-H79,I80-$N$5))</f>
        <v/>
      </c>
      <c r="J79" s="114" t="str">
        <f>IF(B79="","",IF(B79=Setup!$F$13,INDEX('Line 1'!J:J,MATCH(MAX('Line 1'!B:B),'Line 1'!B:B)),I79+H79))</f>
        <v/>
      </c>
      <c r="K79" s="121" t="str">
        <f t="shared" si="7"/>
        <v/>
      </c>
      <c r="M79" s="123" t="str">
        <f>IF(B79="","",IF(B79*2=Setup!$F$13,"midstation row!",""))</f>
        <v/>
      </c>
    </row>
    <row r="80" spans="1:13" x14ac:dyDescent="0.2">
      <c r="A80" s="83">
        <f t="shared" si="12"/>
        <v>71</v>
      </c>
      <c r="B80" s="108" t="str">
        <f>IF(Setup!$F$13&gt;A80,'Line 1'!B79+1,"")</f>
        <v/>
      </c>
      <c r="C80" s="54">
        <f t="shared" si="11"/>
        <v>72</v>
      </c>
      <c r="D80" s="55"/>
      <c r="E80" s="55"/>
      <c r="F80" s="113" t="str">
        <f t="shared" si="8"/>
        <v/>
      </c>
      <c r="G80" s="119" t="str">
        <f t="shared" si="9"/>
        <v/>
      </c>
      <c r="H80" s="113" t="str">
        <f t="shared" si="10"/>
        <v/>
      </c>
      <c r="I80" s="120" t="str">
        <f>IF(B80="","",IF(B80=Setup!$F$13,J80-H80,I81-$N$5))</f>
        <v/>
      </c>
      <c r="J80" s="114" t="str">
        <f>IF(B80="","",IF(B80=Setup!$F$13,INDEX('Line 1'!J:J,MATCH(MAX('Line 1'!B:B),'Line 1'!B:B)),I80+H80))</f>
        <v/>
      </c>
      <c r="K80" s="121" t="str">
        <f t="shared" si="7"/>
        <v/>
      </c>
      <c r="M80" s="123" t="str">
        <f>IF(B80="","",IF(B80*2=Setup!$F$13,"midstation row!",""))</f>
        <v/>
      </c>
    </row>
    <row r="81" spans="1:13" x14ac:dyDescent="0.2">
      <c r="A81" s="83">
        <f t="shared" si="12"/>
        <v>72</v>
      </c>
      <c r="B81" s="108" t="str">
        <f>IF(Setup!$F$13&gt;A81,'Line 1'!B80+1,"")</f>
        <v/>
      </c>
      <c r="C81" s="54">
        <f t="shared" si="11"/>
        <v>73</v>
      </c>
      <c r="D81" s="55"/>
      <c r="E81" s="55"/>
      <c r="F81" s="113" t="str">
        <f t="shared" si="8"/>
        <v/>
      </c>
      <c r="G81" s="119" t="str">
        <f t="shared" si="9"/>
        <v/>
      </c>
      <c r="H81" s="113" t="str">
        <f t="shared" si="10"/>
        <v/>
      </c>
      <c r="I81" s="120" t="str">
        <f>IF(B81="","",IF(B81=Setup!$F$13,J81-H81,I82-$N$5))</f>
        <v/>
      </c>
      <c r="J81" s="114" t="str">
        <f>IF(B81="","",IF(B81=Setup!$F$13,INDEX('Line 1'!J:J,MATCH(MAX('Line 1'!B:B),'Line 1'!B:B)),I81+H81))</f>
        <v/>
      </c>
      <c r="K81" s="121" t="str">
        <f t="shared" si="7"/>
        <v/>
      </c>
      <c r="M81" s="123" t="str">
        <f>IF(B81="","",IF(B81*2=Setup!$F$13,"midstation row!",""))</f>
        <v/>
      </c>
    </row>
    <row r="82" spans="1:13" x14ac:dyDescent="0.2">
      <c r="A82" s="83">
        <f t="shared" si="12"/>
        <v>73</v>
      </c>
      <c r="B82" s="108" t="str">
        <f>IF(Setup!$F$13&gt;A82,'Line 1'!B81+1,"")</f>
        <v/>
      </c>
      <c r="C82" s="54">
        <f t="shared" si="11"/>
        <v>74</v>
      </c>
      <c r="D82" s="55"/>
      <c r="E82" s="55"/>
      <c r="F82" s="113" t="str">
        <f t="shared" si="8"/>
        <v/>
      </c>
      <c r="G82" s="119" t="str">
        <f t="shared" si="9"/>
        <v/>
      </c>
      <c r="H82" s="113" t="str">
        <f t="shared" si="10"/>
        <v/>
      </c>
      <c r="I82" s="120" t="str">
        <f>IF(B82="","",IF(B82=Setup!$F$13,J82-H82,I83-$N$5))</f>
        <v/>
      </c>
      <c r="J82" s="114" t="str">
        <f>IF(B82="","",IF(B82=Setup!$F$13,INDEX('Line 1'!J:J,MATCH(MAX('Line 1'!B:B),'Line 1'!B:B)),I82+H82))</f>
        <v/>
      </c>
      <c r="K82" s="121" t="str">
        <f t="shared" si="7"/>
        <v/>
      </c>
      <c r="M82" s="123" t="str">
        <f>IF(B82="","",IF(B82*2=Setup!$F$13,"midstation row!",""))</f>
        <v/>
      </c>
    </row>
    <row r="83" spans="1:13" x14ac:dyDescent="0.2">
      <c r="A83" s="83">
        <f t="shared" si="12"/>
        <v>74</v>
      </c>
      <c r="B83" s="108" t="str">
        <f>IF(Setup!$F$13&gt;A83,'Line 1'!B82+1,"")</f>
        <v/>
      </c>
      <c r="C83" s="54">
        <f t="shared" si="11"/>
        <v>75</v>
      </c>
      <c r="D83" s="55"/>
      <c r="E83" s="55"/>
      <c r="F83" s="113" t="str">
        <f t="shared" si="8"/>
        <v/>
      </c>
      <c r="G83" s="119" t="str">
        <f t="shared" si="9"/>
        <v/>
      </c>
      <c r="H83" s="113" t="str">
        <f t="shared" si="10"/>
        <v/>
      </c>
      <c r="I83" s="120" t="str">
        <f>IF(B83="","",IF(B83=Setup!$F$13,J83-H83,I84-$N$5))</f>
        <v/>
      </c>
      <c r="J83" s="114" t="str">
        <f>IF(B83="","",IF(B83=Setup!$F$13,INDEX('Line 1'!J:J,MATCH(MAX('Line 1'!B:B),'Line 1'!B:B)),I83+H83))</f>
        <v/>
      </c>
      <c r="K83" s="121" t="str">
        <f t="shared" si="7"/>
        <v/>
      </c>
      <c r="M83" s="123" t="str">
        <f>IF(B83="","",IF(B83*2=Setup!$F$13,"midstation row!",""))</f>
        <v/>
      </c>
    </row>
    <row r="84" spans="1:13" x14ac:dyDescent="0.2">
      <c r="A84" s="83">
        <f t="shared" si="12"/>
        <v>75</v>
      </c>
      <c r="B84" s="108" t="str">
        <f>IF(Setup!$F$13&gt;A84,'Line 1'!B83+1,"")</f>
        <v/>
      </c>
      <c r="C84" s="54">
        <f t="shared" si="11"/>
        <v>76</v>
      </c>
      <c r="D84" s="55"/>
      <c r="E84" s="55"/>
      <c r="F84" s="113" t="str">
        <f t="shared" si="8"/>
        <v/>
      </c>
      <c r="G84" s="119" t="str">
        <f t="shared" si="9"/>
        <v/>
      </c>
      <c r="H84" s="113" t="str">
        <f t="shared" si="10"/>
        <v/>
      </c>
      <c r="I84" s="120" t="str">
        <f>IF(B84="","",IF(B84=Setup!$F$13,J84-H84,I85-$N$5))</f>
        <v/>
      </c>
      <c r="J84" s="114" t="str">
        <f>IF(B84="","",IF(B84=Setup!$F$13,INDEX('Line 1'!J:J,MATCH(MAX('Line 1'!B:B),'Line 1'!B:B)),I84+H84))</f>
        <v/>
      </c>
      <c r="K84" s="121" t="str">
        <f t="shared" si="7"/>
        <v/>
      </c>
      <c r="M84" s="123" t="str">
        <f>IF(B84="","",IF(B84*2=Setup!$F$13,"midstation row!",""))</f>
        <v/>
      </c>
    </row>
    <row r="85" spans="1:13" x14ac:dyDescent="0.2">
      <c r="A85" s="83">
        <f t="shared" si="12"/>
        <v>76</v>
      </c>
      <c r="B85" s="108" t="str">
        <f>IF(Setup!$F$13&gt;A85,'Line 1'!B84+1,"")</f>
        <v/>
      </c>
      <c r="C85" s="54">
        <f t="shared" si="11"/>
        <v>77</v>
      </c>
      <c r="D85" s="55"/>
      <c r="E85" s="55"/>
      <c r="F85" s="113" t="str">
        <f t="shared" si="8"/>
        <v/>
      </c>
      <c r="G85" s="119" t="str">
        <f t="shared" si="9"/>
        <v/>
      </c>
      <c r="H85" s="113" t="str">
        <f t="shared" si="10"/>
        <v/>
      </c>
      <c r="I85" s="120" t="str">
        <f>IF(B85="","",IF(B85=Setup!$F$13,J85-H85,I86-$N$5))</f>
        <v/>
      </c>
      <c r="J85" s="114" t="str">
        <f>IF(B85="","",IF(B85=Setup!$F$13,INDEX('Line 1'!J:J,MATCH(MAX('Line 1'!B:B),'Line 1'!B:B)),I85+H85))</f>
        <v/>
      </c>
      <c r="K85" s="121" t="str">
        <f t="shared" si="7"/>
        <v/>
      </c>
      <c r="M85" s="123" t="str">
        <f>IF(B85="","",IF(B85*2=Setup!$F$13,"midstation row!",""))</f>
        <v/>
      </c>
    </row>
    <row r="86" spans="1:13" x14ac:dyDescent="0.2">
      <c r="A86" s="83">
        <f t="shared" si="12"/>
        <v>77</v>
      </c>
      <c r="B86" s="108" t="str">
        <f>IF(Setup!$F$13&gt;A86,'Line 1'!B85+1,"")</f>
        <v/>
      </c>
      <c r="C86" s="54">
        <f t="shared" si="11"/>
        <v>78</v>
      </c>
      <c r="D86" s="55"/>
      <c r="E86" s="55"/>
      <c r="F86" s="113" t="str">
        <f t="shared" si="8"/>
        <v/>
      </c>
      <c r="G86" s="119" t="str">
        <f t="shared" si="9"/>
        <v/>
      </c>
      <c r="H86" s="113" t="str">
        <f t="shared" si="10"/>
        <v/>
      </c>
      <c r="I86" s="120" t="str">
        <f>IF(B86="","",IF(B86=Setup!$F$13,J86-H86,I87-$N$5))</f>
        <v/>
      </c>
      <c r="J86" s="114" t="str">
        <f>IF(B86="","",IF(B86=Setup!$F$13,INDEX('Line 1'!J:J,MATCH(MAX('Line 1'!B:B),'Line 1'!B:B)),I86+H86))</f>
        <v/>
      </c>
      <c r="K86" s="121" t="str">
        <f t="shared" si="7"/>
        <v/>
      </c>
      <c r="M86" s="123" t="str">
        <f>IF(B86="","",IF(B86*2=Setup!$F$13,"midstation row!",""))</f>
        <v/>
      </c>
    </row>
    <row r="87" spans="1:13" x14ac:dyDescent="0.2">
      <c r="A87" s="83">
        <f t="shared" si="12"/>
        <v>78</v>
      </c>
      <c r="B87" s="108" t="str">
        <f>IF(Setup!$F$13&gt;A87,'Line 1'!B86+1,"")</f>
        <v/>
      </c>
      <c r="C87" s="54">
        <f t="shared" si="11"/>
        <v>79</v>
      </c>
      <c r="D87" s="55"/>
      <c r="E87" s="55"/>
      <c r="F87" s="113" t="str">
        <f t="shared" si="8"/>
        <v/>
      </c>
      <c r="G87" s="119" t="str">
        <f t="shared" si="9"/>
        <v/>
      </c>
      <c r="H87" s="113" t="str">
        <f t="shared" si="10"/>
        <v/>
      </c>
      <c r="I87" s="120" t="str">
        <f>IF(B87="","",IF(B87=Setup!$F$13,J87-H87,I88-$N$5))</f>
        <v/>
      </c>
      <c r="J87" s="114" t="str">
        <f>IF(B87="","",IF(B87=Setup!$F$13,INDEX('Line 1'!J:J,MATCH(MAX('Line 1'!B:B),'Line 1'!B:B)),I87+H87))</f>
        <v/>
      </c>
      <c r="K87" s="121" t="str">
        <f t="shared" si="7"/>
        <v/>
      </c>
      <c r="M87" s="123" t="str">
        <f>IF(B87="","",IF(B87*2=Setup!$F$13,"midstation row!",""))</f>
        <v/>
      </c>
    </row>
    <row r="88" spans="1:13" x14ac:dyDescent="0.2">
      <c r="A88" s="83">
        <f t="shared" si="12"/>
        <v>79</v>
      </c>
      <c r="B88" s="108" t="str">
        <f>IF(Setup!$F$13&gt;A88,'Line 1'!B87+1,"")</f>
        <v/>
      </c>
      <c r="C88" s="54">
        <f t="shared" si="11"/>
        <v>80</v>
      </c>
      <c r="D88" s="55"/>
      <c r="E88" s="55"/>
      <c r="F88" s="113" t="str">
        <f t="shared" si="8"/>
        <v/>
      </c>
      <c r="G88" s="119" t="str">
        <f t="shared" si="9"/>
        <v/>
      </c>
      <c r="H88" s="113" t="str">
        <f t="shared" si="10"/>
        <v/>
      </c>
      <c r="I88" s="120" t="str">
        <f>IF(B88="","",IF(B88=Setup!$F$13,J88-H88,I89-$N$5))</f>
        <v/>
      </c>
      <c r="J88" s="114" t="str">
        <f>IF(B88="","",IF(B88=Setup!$F$13,INDEX('Line 1'!J:J,MATCH(MAX('Line 1'!B:B),'Line 1'!B:B)),I88+H88))</f>
        <v/>
      </c>
      <c r="K88" s="121" t="str">
        <f t="shared" si="7"/>
        <v/>
      </c>
      <c r="M88" s="123" t="str">
        <f>IF(B88="","",IF(B88*2=Setup!$F$13,"midstation row!",""))</f>
        <v/>
      </c>
    </row>
    <row r="89" spans="1:13" x14ac:dyDescent="0.2">
      <c r="A89" s="83">
        <f t="shared" si="12"/>
        <v>80</v>
      </c>
      <c r="B89" s="108" t="str">
        <f>IF(Setup!$F$13&gt;A89,'Line 1'!B88+1,"")</f>
        <v/>
      </c>
      <c r="C89" s="54">
        <f t="shared" si="11"/>
        <v>81</v>
      </c>
      <c r="D89" s="55"/>
      <c r="E89" s="55"/>
      <c r="F89" s="113" t="str">
        <f t="shared" si="8"/>
        <v/>
      </c>
      <c r="G89" s="119" t="str">
        <f t="shared" si="9"/>
        <v/>
      </c>
      <c r="H89" s="113" t="str">
        <f t="shared" si="10"/>
        <v/>
      </c>
      <c r="I89" s="120" t="str">
        <f>IF(B89="","",IF(B89=Setup!$F$13,J89-H89,I90-$N$5))</f>
        <v/>
      </c>
      <c r="J89" s="114" t="str">
        <f>IF(B89="","",IF(B89=Setup!$F$13,INDEX('Line 1'!J:J,MATCH(MAX('Line 1'!B:B),'Line 1'!B:B)),I89+H89))</f>
        <v/>
      </c>
      <c r="K89" s="121" t="str">
        <f t="shared" si="7"/>
        <v/>
      </c>
      <c r="M89" s="123" t="str">
        <f>IF(B89="","",IF(B89*2=Setup!$F$13,"midstation row!",""))</f>
        <v/>
      </c>
    </row>
    <row r="90" spans="1:13" x14ac:dyDescent="0.2">
      <c r="A90" s="83">
        <f t="shared" si="12"/>
        <v>81</v>
      </c>
      <c r="B90" s="108" t="str">
        <f>IF(Setup!$F$13&gt;A90,'Line 1'!B89+1,"")</f>
        <v/>
      </c>
      <c r="C90" s="54">
        <f t="shared" si="11"/>
        <v>82</v>
      </c>
      <c r="D90" s="55"/>
      <c r="E90" s="55"/>
      <c r="F90" s="113" t="str">
        <f t="shared" si="8"/>
        <v/>
      </c>
      <c r="G90" s="119" t="str">
        <f t="shared" si="9"/>
        <v/>
      </c>
      <c r="H90" s="113" t="str">
        <f t="shared" si="10"/>
        <v/>
      </c>
      <c r="I90" s="120" t="str">
        <f>IF(B90="","",IF(B90=Setup!$F$13,J90-H90,I91-$N$5))</f>
        <v/>
      </c>
      <c r="J90" s="114" t="str">
        <f>IF(B90="","",IF(B90=Setup!$F$13,INDEX('Line 1'!J:J,MATCH(MAX('Line 1'!B:B),'Line 1'!B:B)),I90+H90))</f>
        <v/>
      </c>
      <c r="K90" s="121" t="str">
        <f t="shared" si="7"/>
        <v/>
      </c>
      <c r="M90" s="123" t="str">
        <f>IF(B90="","",IF(B90*2=Setup!$F$13,"midstation row!",""))</f>
        <v/>
      </c>
    </row>
    <row r="91" spans="1:13" x14ac:dyDescent="0.2">
      <c r="A91" s="83">
        <f t="shared" si="12"/>
        <v>82</v>
      </c>
      <c r="B91" s="108" t="str">
        <f>IF(Setup!$F$13&gt;A91,'Line 1'!B90+1,"")</f>
        <v/>
      </c>
      <c r="C91" s="54">
        <f t="shared" si="11"/>
        <v>83</v>
      </c>
      <c r="D91" s="55"/>
      <c r="E91" s="55"/>
      <c r="F91" s="113" t="str">
        <f t="shared" si="8"/>
        <v/>
      </c>
      <c r="G91" s="119" t="str">
        <f t="shared" si="9"/>
        <v/>
      </c>
      <c r="H91" s="113" t="str">
        <f t="shared" si="10"/>
        <v/>
      </c>
      <c r="I91" s="120" t="str">
        <f>IF(B91="","",IF(B91=Setup!$F$13,J91-H91,I92-$N$5))</f>
        <v/>
      </c>
      <c r="J91" s="114" t="str">
        <f>IF(B91="","",IF(B91=Setup!$F$13,INDEX('Line 1'!J:J,MATCH(MAX('Line 1'!B:B),'Line 1'!B:B)),I91+H91))</f>
        <v/>
      </c>
      <c r="K91" s="121" t="str">
        <f t="shared" si="7"/>
        <v/>
      </c>
      <c r="M91" s="123" t="str">
        <f>IF(B91="","",IF(B91*2=Setup!$F$13,"midstation row!",""))</f>
        <v/>
      </c>
    </row>
    <row r="92" spans="1:13" x14ac:dyDescent="0.2">
      <c r="A92" s="83">
        <f t="shared" si="12"/>
        <v>83</v>
      </c>
      <c r="B92" s="108" t="str">
        <f>IF(Setup!$F$13&gt;A92,'Line 1'!B91+1,"")</f>
        <v/>
      </c>
      <c r="C92" s="54">
        <f t="shared" si="11"/>
        <v>84</v>
      </c>
      <c r="D92" s="55"/>
      <c r="E92" s="55"/>
      <c r="F92" s="113" t="str">
        <f t="shared" si="8"/>
        <v/>
      </c>
      <c r="G92" s="119" t="str">
        <f t="shared" si="9"/>
        <v/>
      </c>
      <c r="H92" s="113" t="str">
        <f t="shared" si="10"/>
        <v/>
      </c>
      <c r="I92" s="120" t="str">
        <f>IF(B92="","",IF(B92=Setup!$F$13,J92-H92,I93-$N$5))</f>
        <v/>
      </c>
      <c r="J92" s="114" t="str">
        <f>IF(B92="","",IF(B92=Setup!$F$13,INDEX('Line 1'!J:J,MATCH(MAX('Line 1'!B:B),'Line 1'!B:B)),I92+H92))</f>
        <v/>
      </c>
      <c r="K92" s="121" t="str">
        <f t="shared" si="7"/>
        <v/>
      </c>
      <c r="M92" s="123" t="str">
        <f>IF(B92="","",IF(B92*2=Setup!$F$13,"midstation row!",""))</f>
        <v/>
      </c>
    </row>
    <row r="93" spans="1:13" x14ac:dyDescent="0.2">
      <c r="A93" s="83">
        <f t="shared" si="12"/>
        <v>84</v>
      </c>
      <c r="B93" s="108" t="str">
        <f>IF(Setup!$F$13&gt;A93,'Line 1'!B92+1,"")</f>
        <v/>
      </c>
      <c r="C93" s="54">
        <f t="shared" si="11"/>
        <v>85</v>
      </c>
      <c r="D93" s="55"/>
      <c r="E93" s="55"/>
      <c r="F93" s="113" t="str">
        <f t="shared" si="8"/>
        <v/>
      </c>
      <c r="G93" s="119" t="str">
        <f t="shared" si="9"/>
        <v/>
      </c>
      <c r="H93" s="113" t="str">
        <f t="shared" si="10"/>
        <v/>
      </c>
      <c r="I93" s="120" t="str">
        <f>IF(B93="","",IF(B93=Setup!$F$13,J93-H93,I94-$N$5))</f>
        <v/>
      </c>
      <c r="J93" s="114" t="str">
        <f>IF(B93="","",IF(B93=Setup!$F$13,INDEX('Line 1'!J:J,MATCH(MAX('Line 1'!B:B),'Line 1'!B:B)),I93+H93))</f>
        <v/>
      </c>
      <c r="K93" s="121" t="str">
        <f t="shared" si="7"/>
        <v/>
      </c>
      <c r="M93" s="123" t="str">
        <f>IF(B93="","",IF(B93*2=Setup!$F$13,"midstation row!",""))</f>
        <v/>
      </c>
    </row>
    <row r="94" spans="1:13" x14ac:dyDescent="0.2">
      <c r="A94" s="83">
        <f t="shared" si="12"/>
        <v>85</v>
      </c>
      <c r="B94" s="108" t="str">
        <f>IF(Setup!$F$13&gt;A94,'Line 1'!B93+1,"")</f>
        <v/>
      </c>
      <c r="C94" s="54">
        <f t="shared" si="11"/>
        <v>86</v>
      </c>
      <c r="D94" s="55"/>
      <c r="E94" s="55"/>
      <c r="F94" s="113" t="str">
        <f t="shared" si="8"/>
        <v/>
      </c>
      <c r="G94" s="119" t="str">
        <f t="shared" si="9"/>
        <v/>
      </c>
      <c r="H94" s="113" t="str">
        <f t="shared" si="10"/>
        <v/>
      </c>
      <c r="I94" s="120" t="str">
        <f>IF(B94="","",IF(B94=Setup!$F$13,J94-H94,I95-$N$5))</f>
        <v/>
      </c>
      <c r="J94" s="114" t="str">
        <f>IF(B94="","",IF(B94=Setup!$F$13,INDEX('Line 1'!J:J,MATCH(MAX('Line 1'!B:B),'Line 1'!B:B)),I94+H94))</f>
        <v/>
      </c>
      <c r="K94" s="121" t="str">
        <f t="shared" si="7"/>
        <v/>
      </c>
      <c r="M94" s="123" t="str">
        <f>IF(B94="","",IF(B94*2=Setup!$F$13,"midstation row!",""))</f>
        <v/>
      </c>
    </row>
    <row r="95" spans="1:13" x14ac:dyDescent="0.2">
      <c r="A95" s="83">
        <f t="shared" si="12"/>
        <v>86</v>
      </c>
      <c r="B95" s="108" t="str">
        <f>IF(Setup!$F$13&gt;A95,'Line 1'!B94+1,"")</f>
        <v/>
      </c>
      <c r="C95" s="54">
        <f t="shared" si="11"/>
        <v>87</v>
      </c>
      <c r="D95" s="55"/>
      <c r="E95" s="55"/>
      <c r="F95" s="113" t="str">
        <f t="shared" si="8"/>
        <v/>
      </c>
      <c r="G95" s="119" t="str">
        <f t="shared" si="9"/>
        <v/>
      </c>
      <c r="H95" s="113" t="str">
        <f t="shared" si="10"/>
        <v/>
      </c>
      <c r="I95" s="120" t="str">
        <f>IF(B95="","",IF(B95=Setup!$F$13,J95-H95,I96-$N$5))</f>
        <v/>
      </c>
      <c r="J95" s="114" t="str">
        <f>IF(B95="","",IF(B95=Setup!$F$13,INDEX('Line 1'!J:J,MATCH(MAX('Line 1'!B:B),'Line 1'!B:B)),I95+H95))</f>
        <v/>
      </c>
      <c r="K95" s="121" t="str">
        <f t="shared" si="7"/>
        <v/>
      </c>
      <c r="M95" s="123" t="str">
        <f>IF(B95="","",IF(B95*2=Setup!$F$13,"midstation row!",""))</f>
        <v/>
      </c>
    </row>
    <row r="96" spans="1:13" x14ac:dyDescent="0.2">
      <c r="A96" s="83">
        <f t="shared" si="12"/>
        <v>87</v>
      </c>
      <c r="B96" s="108" t="str">
        <f>IF(Setup!$F$13&gt;A96,'Line 1'!B95+1,"")</f>
        <v/>
      </c>
      <c r="C96" s="54">
        <f t="shared" si="11"/>
        <v>88</v>
      </c>
      <c r="D96" s="55"/>
      <c r="E96" s="55"/>
      <c r="F96" s="113" t="str">
        <f t="shared" si="8"/>
        <v/>
      </c>
      <c r="G96" s="119" t="str">
        <f t="shared" si="9"/>
        <v/>
      </c>
      <c r="H96" s="113" t="str">
        <f t="shared" si="10"/>
        <v/>
      </c>
      <c r="I96" s="120" t="str">
        <f>IF(B96="","",IF(B96=Setup!$F$13,J96-H96,I97-$N$5))</f>
        <v/>
      </c>
      <c r="J96" s="114" t="str">
        <f>IF(B96="","",IF(B96=Setup!$F$13,INDEX('Line 1'!J:J,MATCH(MAX('Line 1'!B:B),'Line 1'!B:B)),I96+H96))</f>
        <v/>
      </c>
      <c r="K96" s="121" t="str">
        <f t="shared" si="7"/>
        <v/>
      </c>
      <c r="M96" s="123" t="str">
        <f>IF(B96="","",IF(B96*2=Setup!$F$13,"midstation row!",""))</f>
        <v/>
      </c>
    </row>
    <row r="97" spans="1:13" x14ac:dyDescent="0.2">
      <c r="A97" s="83">
        <f t="shared" si="12"/>
        <v>88</v>
      </c>
      <c r="B97" s="108" t="str">
        <f>IF(Setup!$F$13&gt;A97,'Line 1'!B96+1,"")</f>
        <v/>
      </c>
      <c r="C97" s="54">
        <f t="shared" si="11"/>
        <v>89</v>
      </c>
      <c r="D97" s="55"/>
      <c r="E97" s="55"/>
      <c r="F97" s="113" t="str">
        <f t="shared" si="8"/>
        <v/>
      </c>
      <c r="G97" s="119" t="str">
        <f t="shared" si="9"/>
        <v/>
      </c>
      <c r="H97" s="113" t="str">
        <f t="shared" si="10"/>
        <v/>
      </c>
      <c r="I97" s="120" t="str">
        <f>IF(B97="","",IF(B97=Setup!$F$13,J97-H97,I98-$N$5))</f>
        <v/>
      </c>
      <c r="J97" s="114" t="str">
        <f>IF(B97="","",IF(B97=Setup!$F$13,INDEX('Line 1'!J:J,MATCH(MAX('Line 1'!B:B),'Line 1'!B:B)),I97+H97))</f>
        <v/>
      </c>
      <c r="K97" s="121" t="str">
        <f t="shared" si="7"/>
        <v/>
      </c>
      <c r="M97" s="123" t="str">
        <f>IF(B97="","",IF(B97*2=Setup!$F$13,"midstation row!",""))</f>
        <v/>
      </c>
    </row>
    <row r="98" spans="1:13" x14ac:dyDescent="0.2">
      <c r="A98" s="83">
        <f t="shared" si="12"/>
        <v>89</v>
      </c>
      <c r="B98" s="108" t="str">
        <f>IF(Setup!$F$13&gt;A98,'Line 1'!B97+1,"")</f>
        <v/>
      </c>
      <c r="C98" s="54">
        <f t="shared" si="11"/>
        <v>90</v>
      </c>
      <c r="D98" s="55"/>
      <c r="E98" s="55"/>
      <c r="F98" s="113" t="str">
        <f t="shared" si="8"/>
        <v/>
      </c>
      <c r="G98" s="119" t="str">
        <f t="shared" si="9"/>
        <v/>
      </c>
      <c r="H98" s="113" t="str">
        <f t="shared" si="10"/>
        <v/>
      </c>
      <c r="I98" s="120" t="str">
        <f>IF(B98="","",IF(B98=Setup!$F$13,J98-H98,I99-$N$5))</f>
        <v/>
      </c>
      <c r="J98" s="114" t="str">
        <f>IF(B98="","",IF(B98=Setup!$F$13,INDEX('Line 1'!J:J,MATCH(MAX('Line 1'!B:B),'Line 1'!B:B)),I98+H98))</f>
        <v/>
      </c>
      <c r="K98" s="121" t="str">
        <f t="shared" si="7"/>
        <v/>
      </c>
      <c r="M98" s="123" t="str">
        <f>IF(B98="","",IF(B98*2=Setup!$F$13,"midstation row!",""))</f>
        <v/>
      </c>
    </row>
    <row r="99" spans="1:13" x14ac:dyDescent="0.2">
      <c r="A99" s="83">
        <f t="shared" si="12"/>
        <v>90</v>
      </c>
      <c r="B99" s="108" t="str">
        <f>IF(Setup!$F$13&gt;A99,'Line 1'!B98+1,"")</f>
        <v/>
      </c>
      <c r="C99" s="54">
        <f t="shared" si="11"/>
        <v>91</v>
      </c>
      <c r="D99" s="55"/>
      <c r="E99" s="55"/>
      <c r="F99" s="113" t="str">
        <f t="shared" si="8"/>
        <v/>
      </c>
      <c r="G99" s="119" t="str">
        <f t="shared" si="9"/>
        <v/>
      </c>
      <c r="H99" s="113" t="str">
        <f t="shared" si="10"/>
        <v/>
      </c>
      <c r="I99" s="120" t="str">
        <f>IF(B99="","",IF(B99=Setup!$F$13,J99-H99,I100-$N$5))</f>
        <v/>
      </c>
      <c r="J99" s="114" t="str">
        <f>IF(B99="","",IF(B99=Setup!$F$13,INDEX('Line 1'!J:J,MATCH(MAX('Line 1'!B:B),'Line 1'!B:B)),I99+H99))</f>
        <v/>
      </c>
      <c r="K99" s="121" t="str">
        <f t="shared" si="7"/>
        <v/>
      </c>
      <c r="M99" s="123" t="str">
        <f>IF(B99="","",IF(B99*2=Setup!$F$13,"midstation row!",""))</f>
        <v/>
      </c>
    </row>
    <row r="100" spans="1:13" x14ac:dyDescent="0.2">
      <c r="A100" s="83">
        <f t="shared" si="12"/>
        <v>91</v>
      </c>
      <c r="B100" s="108" t="str">
        <f>IF(Setup!$F$13&gt;A100,'Line 1'!B99+1,"")</f>
        <v/>
      </c>
      <c r="C100" s="54">
        <f t="shared" si="11"/>
        <v>92</v>
      </c>
      <c r="D100" s="55"/>
      <c r="E100" s="55"/>
      <c r="F100" s="113" t="str">
        <f t="shared" si="8"/>
        <v/>
      </c>
      <c r="G100" s="119" t="str">
        <f t="shared" si="9"/>
        <v/>
      </c>
      <c r="H100" s="113" t="str">
        <f t="shared" si="10"/>
        <v/>
      </c>
      <c r="I100" s="120" t="str">
        <f>IF(B100="","",IF(B100=Setup!$F$13,J100-H100,I101-$N$5))</f>
        <v/>
      </c>
      <c r="J100" s="114" t="str">
        <f>IF(B100="","",IF(B100=Setup!$F$13,INDEX('Line 1'!J:J,MATCH(MAX('Line 1'!B:B),'Line 1'!B:B)),I100+H100))</f>
        <v/>
      </c>
      <c r="K100" s="121" t="str">
        <f t="shared" si="7"/>
        <v/>
      </c>
      <c r="M100" s="123" t="str">
        <f>IF(B100="","",IF(B100*2=Setup!$F$13,"midstation row!",""))</f>
        <v/>
      </c>
    </row>
    <row r="101" spans="1:13" x14ac:dyDescent="0.2">
      <c r="A101" s="83">
        <f t="shared" si="12"/>
        <v>92</v>
      </c>
      <c r="B101" s="108" t="str">
        <f>IF(Setup!$F$13&gt;A101,'Line 1'!B100+1,"")</f>
        <v/>
      </c>
      <c r="C101" s="54">
        <f t="shared" si="11"/>
        <v>93</v>
      </c>
      <c r="D101" s="55"/>
      <c r="E101" s="55"/>
      <c r="F101" s="113" t="str">
        <f t="shared" si="8"/>
        <v/>
      </c>
      <c r="G101" s="119" t="str">
        <f t="shared" si="9"/>
        <v/>
      </c>
      <c r="H101" s="113" t="str">
        <f t="shared" si="10"/>
        <v/>
      </c>
      <c r="I101" s="120" t="str">
        <f>IF(B101="","",IF(B101=Setup!$F$13,J101-H101,I102-$N$5))</f>
        <v/>
      </c>
      <c r="J101" s="114" t="str">
        <f>IF(B101="","",IF(B101=Setup!$F$13,INDEX('Line 1'!J:J,MATCH(MAX('Line 1'!B:B),'Line 1'!B:B)),I101+H101))</f>
        <v/>
      </c>
      <c r="K101" s="121" t="str">
        <f t="shared" si="7"/>
        <v/>
      </c>
      <c r="M101" s="123" t="str">
        <f>IF(B101="","",IF(B101*2=Setup!$F$13,"midstation row!",""))</f>
        <v/>
      </c>
    </row>
    <row r="102" spans="1:13" x14ac:dyDescent="0.2">
      <c r="A102" s="83">
        <f t="shared" si="12"/>
        <v>93</v>
      </c>
      <c r="B102" s="108" t="str">
        <f>IF(Setup!$F$13&gt;A102,'Line 1'!B101+1,"")</f>
        <v/>
      </c>
      <c r="C102" s="54">
        <f t="shared" si="11"/>
        <v>94</v>
      </c>
      <c r="D102" s="55"/>
      <c r="E102" s="55"/>
      <c r="F102" s="113" t="str">
        <f t="shared" si="8"/>
        <v/>
      </c>
      <c r="G102" s="119" t="str">
        <f t="shared" si="9"/>
        <v/>
      </c>
      <c r="H102" s="113" t="str">
        <f t="shared" si="10"/>
        <v/>
      </c>
      <c r="I102" s="120" t="str">
        <f>IF(B102="","",IF(B102=Setup!$F$13,J102-H102,I103-$N$5))</f>
        <v/>
      </c>
      <c r="J102" s="114" t="str">
        <f>IF(B102="","",IF(B102=Setup!$F$13,INDEX('Line 1'!J:J,MATCH(MAX('Line 1'!B:B),'Line 1'!B:B)),I102+H102))</f>
        <v/>
      </c>
      <c r="K102" s="121" t="str">
        <f t="shared" si="7"/>
        <v/>
      </c>
      <c r="M102" s="123" t="str">
        <f>IF(B102="","",IF(B102*2=Setup!$F$13,"midstation row!",""))</f>
        <v/>
      </c>
    </row>
    <row r="103" spans="1:13" x14ac:dyDescent="0.2">
      <c r="A103" s="83">
        <f t="shared" si="12"/>
        <v>94</v>
      </c>
      <c r="B103" s="108" t="str">
        <f>IF(Setup!$F$13&gt;A103,'Line 1'!B102+1,"")</f>
        <v/>
      </c>
      <c r="C103" s="54">
        <f t="shared" si="11"/>
        <v>95</v>
      </c>
      <c r="D103" s="55"/>
      <c r="E103" s="55"/>
      <c r="F103" s="113" t="str">
        <f t="shared" si="8"/>
        <v/>
      </c>
      <c r="G103" s="119" t="str">
        <f t="shared" si="9"/>
        <v/>
      </c>
      <c r="H103" s="113" t="str">
        <f t="shared" si="10"/>
        <v/>
      </c>
      <c r="I103" s="120" t="str">
        <f>IF(B103="","",IF(B103=Setup!$F$13,J103-H103,I104-$N$5))</f>
        <v/>
      </c>
      <c r="J103" s="114" t="str">
        <f>IF(B103="","",IF(B103=Setup!$F$13,INDEX('Line 1'!J:J,MATCH(MAX('Line 1'!B:B),'Line 1'!B:B)),I103+H103))</f>
        <v/>
      </c>
      <c r="K103" s="121" t="str">
        <f t="shared" si="7"/>
        <v/>
      </c>
      <c r="M103" s="123" t="str">
        <f>IF(B103="","",IF(B103*2=Setup!$F$13,"midstation row!",""))</f>
        <v/>
      </c>
    </row>
    <row r="104" spans="1:13" x14ac:dyDescent="0.2">
      <c r="A104" s="83">
        <f t="shared" si="12"/>
        <v>95</v>
      </c>
      <c r="B104" s="108" t="str">
        <f>IF(Setup!$F$13&gt;A104,'Line 1'!B103+1,"")</f>
        <v/>
      </c>
      <c r="C104" s="54">
        <f t="shared" si="11"/>
        <v>96</v>
      </c>
      <c r="D104" s="55"/>
      <c r="E104" s="55"/>
      <c r="F104" s="113" t="str">
        <f t="shared" si="8"/>
        <v/>
      </c>
      <c r="G104" s="119" t="str">
        <f t="shared" si="9"/>
        <v/>
      </c>
      <c r="H104" s="113" t="str">
        <f t="shared" si="10"/>
        <v/>
      </c>
      <c r="I104" s="120" t="str">
        <f>IF(B104="","",IF(B104=Setup!$F$13,J104-H104,I105-$N$5))</f>
        <v/>
      </c>
      <c r="J104" s="114" t="str">
        <f>IF(B104="","",IF(B104=Setup!$F$13,INDEX('Line 1'!J:J,MATCH(MAX('Line 1'!B:B),'Line 1'!B:B)),I104+H104))</f>
        <v/>
      </c>
      <c r="K104" s="121" t="str">
        <f t="shared" si="7"/>
        <v/>
      </c>
      <c r="M104" s="123" t="str">
        <f>IF(B104="","",IF(B104*2=Setup!$F$13,"midstation row!",""))</f>
        <v/>
      </c>
    </row>
    <row r="105" spans="1:13" x14ac:dyDescent="0.2">
      <c r="A105" s="83">
        <f t="shared" si="12"/>
        <v>96</v>
      </c>
      <c r="B105" s="108" t="str">
        <f>IF(Setup!$F$13&gt;A105,'Line 1'!B104+1,"")</f>
        <v/>
      </c>
      <c r="C105" s="54">
        <f t="shared" si="11"/>
        <v>97</v>
      </c>
      <c r="D105" s="55"/>
      <c r="E105" s="55"/>
      <c r="F105" s="113" t="str">
        <f t="shared" si="8"/>
        <v/>
      </c>
      <c r="G105" s="119" t="str">
        <f t="shared" si="9"/>
        <v/>
      </c>
      <c r="H105" s="113" t="str">
        <f t="shared" si="10"/>
        <v/>
      </c>
      <c r="I105" s="120" t="str">
        <f>IF(B105="","",IF(B105=Setup!$F$13,J105-H105,I106-$N$5))</f>
        <v/>
      </c>
      <c r="J105" s="114" t="str">
        <f>IF(B105="","",IF(B105=Setup!$F$13,INDEX('Line 1'!J:J,MATCH(MAX('Line 1'!B:B),'Line 1'!B:B)),I105+H105))</f>
        <v/>
      </c>
      <c r="K105" s="121" t="str">
        <f t="shared" si="7"/>
        <v/>
      </c>
      <c r="M105" s="123" t="str">
        <f>IF(B105="","",IF(B105*2=Setup!$F$13,"midstation row!",""))</f>
        <v/>
      </c>
    </row>
    <row r="106" spans="1:13" x14ac:dyDescent="0.2">
      <c r="A106" s="83">
        <f t="shared" si="12"/>
        <v>97</v>
      </c>
      <c r="B106" s="108" t="str">
        <f>IF(Setup!$F$13&gt;A106,'Line 1'!B105+1,"")</f>
        <v/>
      </c>
      <c r="C106" s="54">
        <f t="shared" si="11"/>
        <v>98</v>
      </c>
      <c r="D106" s="55"/>
      <c r="E106" s="55"/>
      <c r="F106" s="113" t="str">
        <f t="shared" si="8"/>
        <v/>
      </c>
      <c r="G106" s="119" t="str">
        <f t="shared" si="9"/>
        <v/>
      </c>
      <c r="H106" s="113" t="str">
        <f t="shared" si="10"/>
        <v/>
      </c>
      <c r="I106" s="120" t="str">
        <f>IF(B106="","",IF(B106=Setup!$F$13,J106-H106,I107-$N$5))</f>
        <v/>
      </c>
      <c r="J106" s="114" t="str">
        <f>IF(B106="","",IF(B106=Setup!$F$13,INDEX('Line 1'!J:J,MATCH(MAX('Line 1'!B:B),'Line 1'!B:B)),I106+H106))</f>
        <v/>
      </c>
      <c r="K106" s="121" t="str">
        <f t="shared" si="7"/>
        <v/>
      </c>
      <c r="M106" s="123" t="str">
        <f>IF(B106="","",IF(B106*2=Setup!$F$13,"midstation row!",""))</f>
        <v/>
      </c>
    </row>
    <row r="107" spans="1:13" x14ac:dyDescent="0.2">
      <c r="A107" s="83">
        <f t="shared" si="12"/>
        <v>98</v>
      </c>
      <c r="B107" s="108" t="str">
        <f>IF(Setup!$F$13&gt;A107,'Line 1'!B106+1,"")</f>
        <v/>
      </c>
      <c r="C107" s="54">
        <f t="shared" si="11"/>
        <v>99</v>
      </c>
      <c r="D107" s="55"/>
      <c r="E107" s="55"/>
      <c r="F107" s="113" t="str">
        <f t="shared" si="8"/>
        <v/>
      </c>
      <c r="G107" s="119" t="str">
        <f t="shared" si="9"/>
        <v/>
      </c>
      <c r="H107" s="113" t="str">
        <f t="shared" si="10"/>
        <v/>
      </c>
      <c r="I107" s="120" t="str">
        <f>IF(B107="","",IF(B107=Setup!$F$13,J107-H107,I108-$N$5))</f>
        <v/>
      </c>
      <c r="J107" s="114" t="str">
        <f>IF(B107="","",IF(B107=Setup!$F$13,INDEX('Line 1'!J:J,MATCH(MAX('Line 1'!B:B),'Line 1'!B:B)),I107+H107))</f>
        <v/>
      </c>
      <c r="K107" s="121" t="str">
        <f t="shared" si="7"/>
        <v/>
      </c>
      <c r="M107" s="123" t="str">
        <f>IF(B107="","",IF(B107*2=Setup!$F$13,"midstation row!",""))</f>
        <v/>
      </c>
    </row>
    <row r="108" spans="1:13" x14ac:dyDescent="0.2">
      <c r="A108" s="83">
        <f t="shared" si="12"/>
        <v>99</v>
      </c>
      <c r="B108" s="108" t="str">
        <f>IF(Setup!$F$13&gt;A108,'Line 1'!B107+1,"")</f>
        <v/>
      </c>
      <c r="C108" s="54">
        <f t="shared" si="11"/>
        <v>100</v>
      </c>
      <c r="D108" s="55"/>
      <c r="E108" s="55"/>
      <c r="F108" s="113" t="str">
        <f t="shared" si="8"/>
        <v/>
      </c>
      <c r="G108" s="119" t="str">
        <f t="shared" si="9"/>
        <v/>
      </c>
      <c r="H108" s="113" t="str">
        <f t="shared" si="10"/>
        <v/>
      </c>
      <c r="I108" s="120" t="str">
        <f>IF(B108="","",IF(B108=Setup!$F$13,J108-H108,I109-$N$5))</f>
        <v/>
      </c>
      <c r="J108" s="114" t="str">
        <f>IF(B108="","",IF(B108=Setup!$F$13,INDEX('Line 1'!J:J,MATCH(MAX('Line 1'!B:B),'Line 1'!B:B)),I108+H108))</f>
        <v/>
      </c>
      <c r="K108" s="121" t="str">
        <f t="shared" si="7"/>
        <v/>
      </c>
      <c r="M108" s="123" t="str">
        <f>IF(B108="","",IF(B108*2=Setup!$F$13,"midstation row!",""))</f>
        <v/>
      </c>
    </row>
    <row r="109" spans="1:13" hidden="1" x14ac:dyDescent="0.2">
      <c r="I109" s="120"/>
    </row>
    <row r="110" spans="1:13" hidden="1" x14ac:dyDescent="0.2">
      <c r="I110" s="120"/>
    </row>
  </sheetData>
  <sheetProtection sheet="1" selectLockedCells="1"/>
  <conditionalFormatting sqref="M10:M108">
    <cfRule type="cellIs" dxfId="40" priority="11" operator="equal">
      <formula>""</formula>
    </cfRule>
    <cfRule type="cellIs" dxfId="39" priority="12" operator="equal">
      <formula>"Midstation Row!"</formula>
    </cfRule>
  </conditionalFormatting>
  <conditionalFormatting sqref="L32:M108 J1:K3 B10:B108 L10:M28 M19:M108 F10:I30 F31:H108 I31:I110">
    <cfRule type="cellIs" dxfId="38" priority="10" operator="equal">
      <formula>""</formula>
    </cfRule>
  </conditionalFormatting>
  <conditionalFormatting sqref="J10:K109">
    <cfRule type="cellIs" dxfId="37" priority="9" operator="equal">
      <formula>""</formula>
    </cfRule>
  </conditionalFormatting>
  <conditionalFormatting sqref="D9:E9">
    <cfRule type="expression" dxfId="36" priority="8">
      <formula>$B9=""</formula>
    </cfRule>
  </conditionalFormatting>
  <conditionalFormatting sqref="D10:E108">
    <cfRule type="expression" dxfId="35" priority="7">
      <formula>$B10=""</formula>
    </cfRule>
  </conditionalFormatting>
  <conditionalFormatting sqref="I10">
    <cfRule type="expression" dxfId="34" priority="6">
      <formula>$M10="Midstation Row!"</formula>
    </cfRule>
  </conditionalFormatting>
  <conditionalFormatting sqref="I10:I110">
    <cfRule type="expression" dxfId="33" priority="5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3.5703125" style="67" customWidth="1"/>
    <col min="22" max="16384" width="9.140625" style="67" hidden="1"/>
  </cols>
  <sheetData>
    <row r="1" spans="1:18" x14ac:dyDescent="0.2">
      <c r="A1" s="83">
        <f>MAX(B:B)</f>
        <v>16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3601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62</v>
      </c>
      <c r="O4" s="84"/>
      <c r="P4" s="84"/>
      <c r="Q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-7.5</v>
      </c>
      <c r="O5" s="84"/>
      <c r="P5" s="84"/>
      <c r="Q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O6" s="100"/>
      <c r="P6" s="101"/>
      <c r="Q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O7" s="107"/>
      <c r="P7" s="84"/>
      <c r="Q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1'!J:J,MATCH(MAX('Line 1'!B:B),'Line 1'!B:B))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O8" s="100"/>
      <c r="P8" s="117"/>
      <c r="Q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173</v>
      </c>
      <c r="J9" s="114">
        <f>IF(B9="","",I9+H9)</f>
        <v>173</v>
      </c>
      <c r="K9" s="115">
        <f t="shared" ref="K9:K72" si="0">IF(B9="","",ROUND(J9*$N$7,0))</f>
        <v>3460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165.5</v>
      </c>
      <c r="J10" s="114">
        <f>IF(B10="","",IF(B10=Setup!$F$12,INDEX('Line 2'!J:J,MATCH(MAX('Line 2'!B:B),'Line 2'!B:B)),I10+H10))</f>
        <v>166.5</v>
      </c>
      <c r="K10" s="121">
        <f t="shared" si="0"/>
        <v>3330</v>
      </c>
      <c r="L10" s="122"/>
      <c r="M10" s="123" t="str">
        <f>IF(B10="","",IF(B10*2=Setup!$F$12,"midstation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158</v>
      </c>
      <c r="J11" s="114">
        <f>IF(B11="","",IF(B11=Setup!$F$12,INDEX('Line 2'!J:J,MATCH(MAX('Line 2'!B:B),'Line 2'!B:B)),I11+H11))</f>
        <v>161</v>
      </c>
      <c r="K11" s="121">
        <f t="shared" si="0"/>
        <v>3220</v>
      </c>
      <c r="L11" s="124"/>
      <c r="M11" s="123" t="str">
        <f>IF(B11="","",IF(B11*2=Setup!$F$12,"midstation row!",""))</f>
        <v/>
      </c>
      <c r="P11" s="84"/>
      <c r="Q11" s="84"/>
      <c r="R11" s="84"/>
    </row>
    <row r="12" spans="1:18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150.5</v>
      </c>
      <c r="J12" s="114">
        <f>IF(B12="","",IF(B12=Setup!$F$12,INDEX('Line 2'!J:J,MATCH(MAX('Line 2'!B:B),'Line 2'!B:B)),I12+H12))</f>
        <v>156.5</v>
      </c>
      <c r="K12" s="121">
        <f t="shared" si="0"/>
        <v>3130</v>
      </c>
      <c r="L12" s="124"/>
      <c r="M12" s="123" t="str">
        <f>IF(B12="","",IF(B12*2=Setup!$F$12,"midstation row!",""))</f>
        <v/>
      </c>
      <c r="P12" s="84"/>
      <c r="Q12" s="84"/>
      <c r="R12" s="84"/>
    </row>
    <row r="13" spans="1:18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143</v>
      </c>
      <c r="J13" s="114">
        <f>IF(B13="","",IF(B13=Setup!$F$12,INDEX('Line 2'!J:J,MATCH(MAX('Line 2'!B:B),'Line 2'!B:B)),I13+H13))</f>
        <v>153</v>
      </c>
      <c r="K13" s="121">
        <f t="shared" si="0"/>
        <v>3060</v>
      </c>
      <c r="L13" s="124"/>
      <c r="M13" s="123" t="str">
        <f>IF(B13="","",IF(B13*2=Setup!$F$12,"midstation row!",""))</f>
        <v/>
      </c>
      <c r="P13" s="84"/>
      <c r="Q13" s="84"/>
      <c r="R13" s="84"/>
    </row>
    <row r="14" spans="1:18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135.5</v>
      </c>
      <c r="J14" s="114">
        <f>IF(B14="","",IF(B14=Setup!$F$12,INDEX('Line 2'!J:J,MATCH(MAX('Line 2'!B:B),'Line 2'!B:B)),I14+H14))</f>
        <v>150.5</v>
      </c>
      <c r="K14" s="121">
        <f t="shared" si="0"/>
        <v>3010</v>
      </c>
      <c r="L14" s="124"/>
      <c r="M14" s="123" t="str">
        <f>IF(B14="","",IF(B14*2=Setup!$F$12,"midstation row!",""))</f>
        <v/>
      </c>
      <c r="P14" s="84"/>
      <c r="Q14" s="84"/>
      <c r="R14" s="84"/>
    </row>
    <row r="15" spans="1:18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128</v>
      </c>
      <c r="J15" s="114">
        <f>IF(B15="","",IF(B15=Setup!$F$12,INDEX('Line 2'!J:J,MATCH(MAX('Line 2'!B:B),'Line 2'!B:B)),I15+H15))</f>
        <v>149</v>
      </c>
      <c r="K15" s="121">
        <f t="shared" si="0"/>
        <v>2980</v>
      </c>
      <c r="L15" s="124"/>
      <c r="M15" s="123" t="str">
        <f>IF(B15="","",IF(B15*2=Setup!$F$12,"midstation row!",""))</f>
        <v/>
      </c>
      <c r="P15" s="84"/>
      <c r="Q15" s="84"/>
      <c r="R15" s="84"/>
    </row>
    <row r="16" spans="1:18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120.5</v>
      </c>
      <c r="J16" s="114">
        <f>IF(B16="","",IF(B16=Setup!$F$12,INDEX('Line 2'!J:J,MATCH(MAX('Line 2'!B:B),'Line 2'!B:B)),I16+H16))</f>
        <v>148.5</v>
      </c>
      <c r="K16" s="121">
        <f t="shared" si="0"/>
        <v>2970</v>
      </c>
      <c r="L16" s="124"/>
      <c r="M16" s="123" t="str">
        <f>IF(B16="","",IF(B16*2=Setup!$F$12,"midstation row!",""))</f>
        <v>midstation row!</v>
      </c>
      <c r="P16" s="84"/>
      <c r="Q16" s="84"/>
      <c r="R16" s="84"/>
    </row>
    <row r="17" spans="1:18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113</v>
      </c>
      <c r="J17" s="114">
        <f>IF(B17="","",IF(B17=Setup!$F$12,INDEX('Line 2'!J:J,MATCH(MAX('Line 2'!B:B),'Line 2'!B:B)),I17+H17))</f>
        <v>149</v>
      </c>
      <c r="K17" s="121">
        <f t="shared" si="0"/>
        <v>2980</v>
      </c>
      <c r="L17" s="124"/>
      <c r="M17" s="123" t="str">
        <f>IF(B17="","",IF(B17*2=Setup!$F$12,"midstation row!",""))</f>
        <v/>
      </c>
      <c r="N17" s="125"/>
      <c r="P17" s="84"/>
      <c r="Q17" s="84"/>
      <c r="R17" s="84"/>
    </row>
    <row r="18" spans="1:18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105.5</v>
      </c>
      <c r="J18" s="114">
        <f>IF(B18="","",IF(B18=Setup!$F$12,INDEX('Line 2'!J:J,MATCH(MAX('Line 2'!B:B),'Line 2'!B:B)),I18+H18))</f>
        <v>150.5</v>
      </c>
      <c r="K18" s="121">
        <f t="shared" si="0"/>
        <v>3010</v>
      </c>
      <c r="L18" s="124"/>
      <c r="M18" s="123" t="str">
        <f>IF(B18="","",IF(B18*2=Setup!$F$12,"midstation row!",""))</f>
        <v/>
      </c>
      <c r="P18" s="84"/>
      <c r="Q18" s="84"/>
      <c r="R18" s="84"/>
    </row>
    <row r="19" spans="1:18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98</v>
      </c>
      <c r="J19" s="114">
        <f>IF(B19="","",IF(B19=Setup!$F$12,INDEX('Line 2'!J:J,MATCH(MAX('Line 2'!B:B),'Line 2'!B:B)),I19+H19))</f>
        <v>153</v>
      </c>
      <c r="K19" s="121">
        <f t="shared" si="0"/>
        <v>3060</v>
      </c>
      <c r="L19" s="124"/>
      <c r="M19" s="123" t="str">
        <f>IF(B19="","",IF(B19*2=Setup!$F$12,"midstation row!",""))</f>
        <v/>
      </c>
      <c r="P19" s="84"/>
      <c r="Q19" s="84"/>
      <c r="R19" s="84"/>
    </row>
    <row r="20" spans="1:18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90.5</v>
      </c>
      <c r="J20" s="114">
        <f>IF(B20="","",IF(B20=Setup!$F$12,INDEX('Line 2'!J:J,MATCH(MAX('Line 2'!B:B),'Line 2'!B:B)),I20+H20))</f>
        <v>156.5</v>
      </c>
      <c r="K20" s="121">
        <f t="shared" si="0"/>
        <v>3130</v>
      </c>
      <c r="L20" s="124"/>
      <c r="M20" s="123" t="str">
        <f>IF(B20="","",IF(B20*2=Setup!$F$12,"midstation row!",""))</f>
        <v/>
      </c>
      <c r="P20" s="84"/>
      <c r="Q20" s="84"/>
      <c r="R20" s="84"/>
    </row>
    <row r="21" spans="1:18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83</v>
      </c>
      <c r="J21" s="114">
        <f>IF(B21="","",IF(B21=Setup!$F$12,INDEX('Line 2'!J:J,MATCH(MAX('Line 2'!B:B),'Line 2'!B:B)),I21+H21))</f>
        <v>161</v>
      </c>
      <c r="K21" s="121">
        <f t="shared" si="0"/>
        <v>3220</v>
      </c>
      <c r="L21" s="124"/>
      <c r="M21" s="123" t="str">
        <f>IF(B21="","",IF(B21*2=Setup!$F$12,"midstation row!",""))</f>
        <v/>
      </c>
      <c r="P21" s="84"/>
      <c r="Q21" s="84"/>
      <c r="R21" s="84"/>
    </row>
    <row r="22" spans="1:18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75.5</v>
      </c>
      <c r="J22" s="114">
        <f>IF(B22="","",IF(B22=Setup!$F$12,INDEX('Line 2'!J:J,MATCH(MAX('Line 2'!B:B),'Line 2'!B:B)),I22+H22))</f>
        <v>166.5</v>
      </c>
      <c r="K22" s="121">
        <f t="shared" si="0"/>
        <v>3330</v>
      </c>
      <c r="L22" s="124"/>
      <c r="M22" s="123" t="str">
        <f>IF(B22="","",IF(B22*2=Setup!$F$12,"midstation row!",""))</f>
        <v/>
      </c>
      <c r="P22" s="84"/>
      <c r="Q22" s="84"/>
      <c r="R22" s="84"/>
    </row>
    <row r="23" spans="1:18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68</v>
      </c>
      <c r="J23" s="114">
        <f>IF(B23="","",IF(B23=Setup!$F$12,INDEX('Line 2'!J:J,MATCH(MAX('Line 2'!B:B),'Line 2'!B:B)),I23+H23))</f>
        <v>173</v>
      </c>
      <c r="K23" s="121">
        <f t="shared" si="0"/>
        <v>3460</v>
      </c>
      <c r="L23" s="124"/>
      <c r="M23" s="123" t="str">
        <f>IF(B23="","",IF(B23*2=Setup!$F$12,"midstation row!",""))</f>
        <v/>
      </c>
    </row>
    <row r="24" spans="1:18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60.5</v>
      </c>
      <c r="J24" s="114">
        <f>IF(B24="","",IF(B24=Setup!$F$12,INDEX('Line 2'!J:J,MATCH(MAX('Line 2'!B:B),'Line 2'!B:B)),I24+H24))</f>
        <v>180.5</v>
      </c>
      <c r="K24" s="121">
        <f t="shared" si="0"/>
        <v>3610</v>
      </c>
      <c r="L24" s="124"/>
      <c r="M24" s="123" t="str">
        <f>IF(B24="","",IF(B24*2=Setup!$F$12,"midstation row!",""))</f>
        <v/>
      </c>
    </row>
    <row r="25" spans="1:18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17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2'!J:J,MATCH(MAX('Line 2'!B:B),'Line 2'!B:B)),I25+H25))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8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18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2'!J:J,MATCH(MAX('Line 2'!B:B),'Line 2'!B:B)),I26+H26))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8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19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2'!J:J,MATCH(MAX('Line 2'!B:B),'Line 2'!B:B)),I27+H27))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8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20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2'!J:J,MATCH(MAX('Line 2'!B:B),'Line 2'!B:B)),I28+H28))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8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2'!J:J,MATCH(MAX('Line 2'!B:B),'Line 2'!B:B)),I29+H29))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8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2'!J:J,MATCH(MAX('Line 2'!B:B),'Line 2'!B:B)),I30+H30))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8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2'!J:J,MATCH(MAX('Line 2'!B:B),'Line 2'!B:B)),I31+H31))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8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2'!J:J,MATCH(MAX('Line 2'!B:B),'Line 2'!B:B)),I32+H32))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2'!J:J,MATCH(MAX('Line 2'!B:B),'Line 2'!B:B)),I33+H33))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2'!J:J,MATCH(MAX('Line 2'!B:B),'Line 2'!B:B)),I34+H34))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2'!J:J,MATCH(MAX('Line 2'!B:B),'Line 2'!B:B)),I35+H35))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2'!J:J,MATCH(MAX('Line 2'!B:B),'Line 2'!B:B)),I36+H36))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2'!J:J,MATCH(MAX('Line 2'!B:B),'Line 2'!B:B)),I37+H37))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2'!J:J,MATCH(MAX('Line 2'!B:B),'Line 2'!B:B)),I38+H38))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2'!J:J,MATCH(MAX('Line 2'!B:B),'Line 2'!B:B)),I39+H39))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2'!J:J,MATCH(MAX('Line 2'!B:B),'Line 2'!B:B)),I40+H40))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2'!J:J,MATCH(MAX('Line 2'!B:B),'Line 2'!B:B)),I41+H41))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2'!J:J,MATCH(MAX('Line 2'!B:B),'Line 2'!B:B)),I42+H42))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2'!J:J,MATCH(MAX('Line 2'!B:B),'Line 2'!B:B)),I43+H43))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2'!J:J,MATCH(MAX('Line 2'!B:B),'Line 2'!B:B)),I44+H44))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2'!J:J,MATCH(MAX('Line 2'!B:B),'Line 2'!B:B)),I45+H45))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2'!J:J,MATCH(MAX('Line 2'!B:B),'Line 2'!B:B)),I46+H46))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2'!J:J,MATCH(MAX('Line 2'!B:B),'Line 2'!B:B)),I47+H47))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2'!J:J,MATCH(MAX('Line 2'!B:B),'Line 2'!B:B)),I48+H48))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2'!J:J,MATCH(MAX('Line 2'!B:B),'Line 2'!B:B)),I49+H49))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2'!J:J,MATCH(MAX('Line 2'!B:B),'Line 2'!B:B)),I50+H50))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2'!J:J,MATCH(MAX('Line 2'!B:B),'Line 2'!B:B)),I51+H51))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2'!J:J,MATCH(MAX('Line 2'!B:B),'Line 2'!B:B)),I52+H52))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2'!J:J,MATCH(MAX('Line 2'!B:B),'Line 2'!B:B)),I53+H53))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2'!J:J,MATCH(MAX('Line 2'!B:B),'Line 2'!B:B)),I54+H54))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2'!J:J,MATCH(MAX('Line 2'!B:B),'Line 2'!B:B)),I55+H55))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2'!J:J,MATCH(MAX('Line 2'!B:B),'Line 2'!B:B)),I56+H56))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2'!J:J,MATCH(MAX('Line 2'!B:B),'Line 2'!B:B)),I57+H57))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2'!J:J,MATCH(MAX('Line 2'!B:B),'Line 2'!B:B)),I58+H58))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2'!J:J,MATCH(MAX('Line 2'!B:B),'Line 2'!B:B)),I59+H59))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2'!J:J,MATCH(MAX('Line 2'!B:B),'Line 2'!B:B)),I60+H60))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2'!J:J,MATCH(MAX('Line 2'!B:B),'Line 2'!B:B)),I61+H61))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2'!J:J,MATCH(MAX('Line 2'!B:B),'Line 2'!B:B)),I62+H62))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2'!J:J,MATCH(MAX('Line 2'!B:B),'Line 2'!B:B)),I63+H63))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2'!J:J,MATCH(MAX('Line 2'!B:B),'Line 2'!B:B)),I64+H64))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2'!J:J,MATCH(MAX('Line 2'!B:B),'Line 2'!B:B)),I65+H65))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2'!J:J,MATCH(MAX('Line 2'!B:B),'Line 2'!B:B)),I66+H66))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2'!J:J,MATCH(MAX('Line 2'!B:B),'Line 2'!B:B)),I67+H67))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2'!J:J,MATCH(MAX('Line 2'!B:B),'Line 2'!B:B)),I68+H68))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2'!J:J,MATCH(MAX('Line 2'!B:B),'Line 2'!B:B)),I69+H69))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2'!J:J,MATCH(MAX('Line 2'!B:B),'Line 2'!B:B)),I70+H70))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2'!J:J,MATCH(MAX('Line 2'!B:B),'Line 2'!B:B)),I71+H71))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2'!J:J,MATCH(MAX('Line 2'!B:B),'Line 2'!B:B)),I72+H72))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2'!J:J,MATCH(MAX('Line 2'!B:B),'Line 2'!B:B)),I73+H73))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2'!J:J,MATCH(MAX('Line 2'!B:B),'Line 2'!B:B)),I74+H74))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2'!J:J,MATCH(MAX('Line 2'!B:B),'Line 2'!B:B)),I75+H75))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2'!J:J,MATCH(MAX('Line 2'!B:B),'Line 2'!B:B)),I76+H76))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2'!J:J,MATCH(MAX('Line 2'!B:B),'Line 2'!B:B)),I77+H77))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2'!J:J,MATCH(MAX('Line 2'!B:B),'Line 2'!B:B)),I78+H78))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2'!J:J,MATCH(MAX('Line 2'!B:B),'Line 2'!B:B)),I79+H79))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2'!J:J,MATCH(MAX('Line 2'!B:B),'Line 2'!B:B)),I80+H80))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2'!J:J,MATCH(MAX('Line 2'!B:B),'Line 2'!B:B)),I81+H81))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2'!J:J,MATCH(MAX('Line 2'!B:B),'Line 2'!B:B)),I82+H82))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2'!J:J,MATCH(MAX('Line 2'!B:B),'Line 2'!B:B)),I83+H83))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2'!J:J,MATCH(MAX('Line 2'!B:B),'Line 2'!B:B)),I84+H84))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2'!J:J,MATCH(MAX('Line 2'!B:B),'Line 2'!B:B)),I85+H85))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2'!J:J,MATCH(MAX('Line 2'!B:B),'Line 2'!B:B)),I86+H86))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2'!J:J,MATCH(MAX('Line 2'!B:B),'Line 2'!B:B)),I87+H87))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2'!J:J,MATCH(MAX('Line 2'!B:B),'Line 2'!B:B)),I88+H88))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2'!J:J,MATCH(MAX('Line 2'!B:B),'Line 2'!B:B)),I89+H89))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2'!J:J,MATCH(MAX('Line 2'!B:B),'Line 2'!B:B)),I90+H90))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2'!J:J,MATCH(MAX('Line 2'!B:B),'Line 2'!B:B)),I91+H91))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2'!J:J,MATCH(MAX('Line 2'!B:B),'Line 2'!B:B)),I92+H92))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2'!J:J,MATCH(MAX('Line 2'!B:B),'Line 2'!B:B)),I93+H93))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2'!J:J,MATCH(MAX('Line 2'!B:B),'Line 2'!B:B)),I94+H94))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2'!J:J,MATCH(MAX('Line 2'!B:B),'Line 2'!B:B)),I95+H95))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2'!J:J,MATCH(MAX('Line 2'!B:B),'Line 2'!B:B)),I96+H96))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2'!J:J,MATCH(MAX('Line 2'!B:B),'Line 2'!B:B)),I97+H97))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2'!J:J,MATCH(MAX('Line 2'!B:B),'Line 2'!B:B)),I98+H98))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2'!J:J,MATCH(MAX('Line 2'!B:B),'Line 2'!B:B)),I99+H99))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2'!J:J,MATCH(MAX('Line 2'!B:B),'Line 2'!B:B)),I100+H100))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2'!J:J,MATCH(MAX('Line 2'!B:B),'Line 2'!B:B)),I101+H101))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2'!J:J,MATCH(MAX('Line 2'!B:B),'Line 2'!B:B)),I102+H102))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2'!J:J,MATCH(MAX('Line 2'!B:B),'Line 2'!B:B)),I103+H103))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2'!J:J,MATCH(MAX('Line 2'!B:B),'Line 2'!B:B)),I104+H104))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2'!J:J,MATCH(MAX('Line 2'!B:B),'Line 2'!B:B)),I105+H105))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2'!J:J,MATCH(MAX('Line 2'!B:B),'Line 2'!B:B)),I106+H106))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2'!J:J,MATCH(MAX('Line 2'!B:B),'Line 2'!B:B)),I107+H107))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2'!J:J,MATCH(MAX('Line 2'!B:B),'Line 2'!B:B)),I108+H108))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5">
      <formula>$M10="Midstation Row!"</formula>
    </cfRule>
  </conditionalFormatting>
  <conditionalFormatting sqref="M10:M108">
    <cfRule type="cellIs" dxfId="29" priority="11" operator="equal">
      <formula>""</formula>
    </cfRule>
    <cfRule type="cellIs" dxfId="28" priority="12" operator="equal">
      <formula>"Midstation Row!"</formula>
    </cfRule>
  </conditionalFormatting>
  <conditionalFormatting sqref="L32:M108 J1:K3 B10:B108 F10:I108 L10:M28 M16:M108">
    <cfRule type="cellIs" dxfId="27" priority="10" operator="equal">
      <formula>""</formula>
    </cfRule>
  </conditionalFormatting>
  <conditionalFormatting sqref="J10:K109">
    <cfRule type="cellIs" dxfId="26" priority="9" operator="equal">
      <formula>""</formula>
    </cfRule>
  </conditionalFormatting>
  <conditionalFormatting sqref="D9:E9">
    <cfRule type="expression" dxfId="25" priority="8">
      <formula>$B9=""</formula>
    </cfRule>
  </conditionalFormatting>
  <conditionalFormatting sqref="D10:E108">
    <cfRule type="expression" dxfId="24" priority="7">
      <formula>$B10=""</formula>
    </cfRule>
  </conditionalFormatting>
  <conditionalFormatting sqref="I10">
    <cfRule type="expression" dxfId="23" priority="6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16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720</v>
      </c>
      <c r="K2" s="155" t="s">
        <v>5</v>
      </c>
    </row>
    <row r="3" spans="1:14" x14ac:dyDescent="0.2">
      <c r="A3" s="83"/>
      <c r="J3" s="154">
        <f>ABS(J1-J2)</f>
        <v>711</v>
      </c>
      <c r="K3" s="155" t="s">
        <v>6</v>
      </c>
    </row>
    <row r="4" spans="1:14" ht="18.75" thickBot="1" x14ac:dyDescent="0.3">
      <c r="A4" s="83"/>
      <c r="G4" s="86" t="s">
        <v>63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-7.5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3'!J:J,MATCH(MAX('Line 3'!B:B)/2,'Line 3'!B:B))</f>
        <v>36</v>
      </c>
      <c r="J8" s="114">
        <f>IF(B8="","",I8+H8)</f>
        <v>36</v>
      </c>
      <c r="K8" s="115">
        <f>IF(B8="","",ROUND(J8*$N$7,0))</f>
        <v>720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28.5</v>
      </c>
      <c r="J9" s="114">
        <f>IF(B9="","",I9+H9)</f>
        <v>28.5</v>
      </c>
      <c r="K9" s="115">
        <f t="shared" ref="K9:K72" si="0">IF(B9="","",ROUND(J9*$N$7,0))</f>
        <v>570</v>
      </c>
      <c r="L9" s="66"/>
    </row>
    <row r="10" spans="1:14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21</v>
      </c>
      <c r="J10" s="114">
        <f>IF(B10="","",IF(B10=Setup!$F$12,INDEX('Line 5'!J:J,MATCH(MAX('Line 5'!B:B)/2,'Line 5'!B:B)),I10+H10))</f>
        <v>22</v>
      </c>
      <c r="K10" s="121">
        <f t="shared" si="0"/>
        <v>440</v>
      </c>
      <c r="L10" s="122"/>
      <c r="M10" s="123" t="str">
        <f>IF(B10="","",IF(B10*2=Setup!$F$12,"midstation row!",""))</f>
        <v/>
      </c>
    </row>
    <row r="11" spans="1:14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13.5</v>
      </c>
      <c r="J11" s="114">
        <f>IF(B11="","",IF(B11=Setup!$F$12,INDEX('Line 5'!J:J,MATCH(MAX('Line 5'!B:B)/2,'Line 5'!B:B)),I11+H11))</f>
        <v>16.5</v>
      </c>
      <c r="K11" s="121">
        <f t="shared" si="0"/>
        <v>330</v>
      </c>
      <c r="L11" s="124"/>
      <c r="M11" s="123" t="str">
        <f>IF(B11="","",IF(B11*2=Setup!$F$12,"midstation row!",""))</f>
        <v/>
      </c>
    </row>
    <row r="12" spans="1:14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6</v>
      </c>
      <c r="J12" s="114">
        <f>IF(B12="","",IF(B12=Setup!$F$12,INDEX('Line 5'!J:J,MATCH(MAX('Line 5'!B:B)/2,'Line 5'!B:B)),I12+H12))</f>
        <v>12</v>
      </c>
      <c r="K12" s="121">
        <f t="shared" si="0"/>
        <v>240</v>
      </c>
      <c r="L12" s="124"/>
      <c r="M12" s="123" t="str">
        <f>IF(B12="","",IF(B12*2=Setup!$F$12,"midstation row!",""))</f>
        <v/>
      </c>
    </row>
    <row r="13" spans="1:14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-1.5</v>
      </c>
      <c r="J13" s="114">
        <f>IF(B13="","",IF(B13=Setup!$F$12,INDEX('Line 5'!J:J,MATCH(MAX('Line 5'!B:B)/2,'Line 5'!B:B)),I13+H13))</f>
        <v>8.5</v>
      </c>
      <c r="K13" s="121">
        <f t="shared" si="0"/>
        <v>170</v>
      </c>
      <c r="L13" s="124"/>
      <c r="M13" s="123" t="str">
        <f>IF(B13="","",IF(B13*2=Setup!$F$12,"midstation row!",""))</f>
        <v/>
      </c>
    </row>
    <row r="14" spans="1:14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-9</v>
      </c>
      <c r="J14" s="114">
        <f>IF(B14="","",IF(B14=Setup!$F$12,INDEX('Line 5'!J:J,MATCH(MAX('Line 5'!B:B)/2,'Line 5'!B:B)),I14+H14))</f>
        <v>6</v>
      </c>
      <c r="K14" s="121">
        <f t="shared" si="0"/>
        <v>120</v>
      </c>
      <c r="L14" s="124"/>
      <c r="M14" s="123" t="str">
        <f>IF(B14="","",IF(B14*2=Setup!$F$12,"midstation row!",""))</f>
        <v/>
      </c>
    </row>
    <row r="15" spans="1:14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-16.5</v>
      </c>
      <c r="J15" s="114">
        <f>IF(B15="","",IF(B15=Setup!$F$12,INDEX('Line 5'!J:J,MATCH(MAX('Line 5'!B:B)/2,'Line 5'!B:B)),I15+H15))</f>
        <v>4.5</v>
      </c>
      <c r="K15" s="121">
        <f t="shared" si="0"/>
        <v>90</v>
      </c>
      <c r="L15" s="124"/>
      <c r="M15" s="123" t="str">
        <f>IF(B15="","",IF(B15*2=Setup!$F$12,"midstation row!",""))</f>
        <v/>
      </c>
    </row>
    <row r="16" spans="1:14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-24</v>
      </c>
      <c r="J16" s="114">
        <f>IF(B16="","",IF(B16=Setup!$F$12,INDEX('Line 5'!J:J,MATCH(MAX('Line 5'!B:B)/2,'Line 5'!B:B)),I16+H16))</f>
        <v>4</v>
      </c>
      <c r="K16" s="121">
        <f t="shared" si="0"/>
        <v>80</v>
      </c>
      <c r="L16" s="124"/>
      <c r="M16" s="123" t="str">
        <f>IF(B16="","",IF(B16*2=Setup!$F$12,"midstation row!",""))</f>
        <v>midstation row!</v>
      </c>
    </row>
    <row r="17" spans="1:14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-31.5</v>
      </c>
      <c r="J17" s="114">
        <f>IF(B17="","",IF(B17=Setup!$F$12,INDEX('Line 5'!J:J,MATCH(MAX('Line 5'!B:B)/2,'Line 5'!B:B)),I17+H17))</f>
        <v>4.5</v>
      </c>
      <c r="K17" s="121">
        <f t="shared" si="0"/>
        <v>90</v>
      </c>
      <c r="L17" s="124"/>
      <c r="M17" s="123" t="str">
        <f>IF(B17="","",IF(B17*2=Setup!$F$12,"midstation row!",""))</f>
        <v/>
      </c>
      <c r="N17" s="125"/>
    </row>
    <row r="18" spans="1:14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-39</v>
      </c>
      <c r="J18" s="114">
        <f>IF(B18="","",IF(B18=Setup!$F$12,INDEX('Line 5'!J:J,MATCH(MAX('Line 5'!B:B)/2,'Line 5'!B:B)),I18+H18))</f>
        <v>6</v>
      </c>
      <c r="K18" s="121">
        <f t="shared" si="0"/>
        <v>120</v>
      </c>
      <c r="L18" s="124"/>
      <c r="M18" s="123" t="str">
        <f>IF(B18="","",IF(B18*2=Setup!$F$12,"midstation row!",""))</f>
        <v/>
      </c>
    </row>
    <row r="19" spans="1:14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-46.5</v>
      </c>
      <c r="J19" s="114">
        <f>IF(B19="","",IF(B19=Setup!$F$12,INDEX('Line 5'!J:J,MATCH(MAX('Line 5'!B:B)/2,'Line 5'!B:B)),I19+H19))</f>
        <v>8.5</v>
      </c>
      <c r="K19" s="121">
        <f t="shared" si="0"/>
        <v>170</v>
      </c>
      <c r="L19" s="124"/>
      <c r="M19" s="123" t="str">
        <f>IF(B19="","",IF(B19*2=Setup!$F$12,"midstation row!",""))</f>
        <v/>
      </c>
    </row>
    <row r="20" spans="1:14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-54</v>
      </c>
      <c r="J20" s="114">
        <f>IF(B20="","",IF(B20=Setup!$F$12,INDEX('Line 5'!J:J,MATCH(MAX('Line 5'!B:B)/2,'Line 5'!B:B)),I20+H20))</f>
        <v>12</v>
      </c>
      <c r="K20" s="121">
        <f t="shared" si="0"/>
        <v>240</v>
      </c>
      <c r="L20" s="124"/>
      <c r="M20" s="123" t="str">
        <f>IF(B20="","",IF(B20*2=Setup!$F$12,"midstation row!",""))</f>
        <v/>
      </c>
    </row>
    <row r="21" spans="1:14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-61.5</v>
      </c>
      <c r="J21" s="114">
        <f>IF(B21="","",IF(B21=Setup!$F$12,INDEX('Line 5'!J:J,MATCH(MAX('Line 5'!B:B)/2,'Line 5'!B:B)),I21+H21))</f>
        <v>16.5</v>
      </c>
      <c r="K21" s="121">
        <f t="shared" si="0"/>
        <v>330</v>
      </c>
      <c r="L21" s="124"/>
      <c r="M21" s="123" t="str">
        <f>IF(B21="","",IF(B21*2=Setup!$F$12,"midstation row!",""))</f>
        <v/>
      </c>
    </row>
    <row r="22" spans="1:14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-69</v>
      </c>
      <c r="J22" s="114">
        <f>IF(B22="","",IF(B22=Setup!$F$12,INDEX('Line 5'!J:J,MATCH(MAX('Line 5'!B:B)/2,'Line 5'!B:B)),I22+H22))</f>
        <v>22</v>
      </c>
      <c r="K22" s="121">
        <f t="shared" si="0"/>
        <v>440</v>
      </c>
      <c r="L22" s="124"/>
      <c r="M22" s="123" t="str">
        <f>IF(B22="","",IF(B22*2=Setup!$F$12,"midstation row!",""))</f>
        <v/>
      </c>
    </row>
    <row r="23" spans="1:14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-76.5</v>
      </c>
      <c r="J23" s="114">
        <f>IF(B23="","",IF(B23=Setup!$F$12,INDEX('Line 5'!J:J,MATCH(MAX('Line 5'!B:B)/2,'Line 5'!B:B)),I23+H23))</f>
        <v>28.5</v>
      </c>
      <c r="K23" s="121">
        <f t="shared" si="0"/>
        <v>570</v>
      </c>
      <c r="L23" s="124"/>
      <c r="M23" s="123" t="str">
        <f>IF(B23="","",IF(B23*2=Setup!$F$12,"midstation row!",""))</f>
        <v/>
      </c>
    </row>
    <row r="24" spans="1:14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-84</v>
      </c>
      <c r="J24" s="114">
        <f>IF(B24="","",IF(B24=Setup!$F$12,INDEX('Line 5'!J:J,MATCH(MAX('Line 5'!B:B)/2,'Line 5'!B:B)),I24+H24))</f>
        <v>36</v>
      </c>
      <c r="K24" s="121">
        <f t="shared" si="0"/>
        <v>720</v>
      </c>
      <c r="L24" s="124"/>
      <c r="M24" s="123" t="str">
        <f>IF(B24="","",IF(B24*2=Setup!$F$12,"midstation row!",""))</f>
        <v/>
      </c>
    </row>
    <row r="25" spans="1:14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17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5'!J:J,MATCH(MAX('Line 5'!B:B)/2,'Line 5'!B:B)),I25+H25))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4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18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5'!J:J,MATCH(MAX('Line 5'!B:B)/2,'Line 5'!B:B)),I26+H26))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4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19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5'!J:J,MATCH(MAX('Line 5'!B:B)/2,'Line 5'!B:B)),I27+H27))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4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20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5'!J:J,MATCH(MAX('Line 5'!B:B)/2,'Line 5'!B:B)),I28+H28))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4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5'!J:J,MATCH(MAX('Line 5'!B:B)/2,'Line 5'!B:B)),I29+H29))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4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5'!J:J,MATCH(MAX('Line 5'!B:B)/2,'Line 5'!B:B)),I30+H30))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4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5'!J:J,MATCH(MAX('Line 5'!B:B)/2,'Line 5'!B:B)),I31+H31))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4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5'!J:J,MATCH(MAX('Line 5'!B:B)/2,'Line 5'!B:B)),I32+H32))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5'!J:J,MATCH(MAX('Line 5'!B:B)/2,'Line 5'!B:B)),I33+H33))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5'!J:J,MATCH(MAX('Line 5'!B:B)/2,'Line 5'!B:B)),I34+H34))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5'!J:J,MATCH(MAX('Line 5'!B:B)/2,'Line 5'!B:B)),I35+H35))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5'!J:J,MATCH(MAX('Line 5'!B:B)/2,'Line 5'!B:B)),I36+H36))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5'!J:J,MATCH(MAX('Line 5'!B:B)/2,'Line 5'!B:B)),I37+H37))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5'!J:J,MATCH(MAX('Line 5'!B:B)/2,'Line 5'!B:B)),I38+H38))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5'!J:J,MATCH(MAX('Line 5'!B:B)/2,'Line 5'!B:B)),I39+H39))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5'!J:J,MATCH(MAX('Line 5'!B:B)/2,'Line 5'!B:B)),I40+H40))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5'!J:J,MATCH(MAX('Line 5'!B:B)/2,'Line 5'!B:B)),I41+H41))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5'!J:J,MATCH(MAX('Line 5'!B:B)/2,'Line 5'!B:B)),I42+H42))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5'!J:J,MATCH(MAX('Line 5'!B:B)/2,'Line 5'!B:B)),I43+H43))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5'!J:J,MATCH(MAX('Line 5'!B:B)/2,'Line 5'!B:B)),I44+H44))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5'!J:J,MATCH(MAX('Line 5'!B:B)/2,'Line 5'!B:B)),I45+H45))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5'!J:J,MATCH(MAX('Line 5'!B:B)/2,'Line 5'!B:B)),I46+H46))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5'!J:J,MATCH(MAX('Line 5'!B:B)/2,'Line 5'!B:B)),I47+H47))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5'!J:J,MATCH(MAX('Line 5'!B:B)/2,'Line 5'!B:B)),I48+H48))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5'!J:J,MATCH(MAX('Line 5'!B:B)/2,'Line 5'!B:B)),I49+H49))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5'!J:J,MATCH(MAX('Line 5'!B:B)/2,'Line 5'!B:B)),I50+H50))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5'!J:J,MATCH(MAX('Line 5'!B:B)/2,'Line 5'!B:B)),I51+H51))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5'!J:J,MATCH(MAX('Line 5'!B:B)/2,'Line 5'!B:B)),I52+H52))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5'!J:J,MATCH(MAX('Line 5'!B:B)/2,'Line 5'!B:B)),I53+H53))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5'!J:J,MATCH(MAX('Line 5'!B:B)/2,'Line 5'!B:B)),I54+H54))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5'!J:J,MATCH(MAX('Line 5'!B:B)/2,'Line 5'!B:B)),I55+H55))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5'!J:J,MATCH(MAX('Line 5'!B:B)/2,'Line 5'!B:B)),I56+H56))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5'!J:J,MATCH(MAX('Line 5'!B:B)/2,'Line 5'!B:B)),I57+H57))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5'!J:J,MATCH(MAX('Line 5'!B:B)/2,'Line 5'!B:B)),I58+H58))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5'!J:J,MATCH(MAX('Line 5'!B:B)/2,'Line 5'!B:B)),I59+H59))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5'!J:J,MATCH(MAX('Line 5'!B:B)/2,'Line 5'!B:B)),I60+H60))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5'!J:J,MATCH(MAX('Line 5'!B:B)/2,'Line 5'!B:B)),I61+H61))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5'!J:J,MATCH(MAX('Line 5'!B:B)/2,'Line 5'!B:B)),I62+H62))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5'!J:J,MATCH(MAX('Line 5'!B:B)/2,'Line 5'!B:B)),I63+H63))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5'!J:J,MATCH(MAX('Line 5'!B:B)/2,'Line 5'!B:B)),I64+H64))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5'!J:J,MATCH(MAX('Line 5'!B:B)/2,'Line 5'!B:B)),I65+H65))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5'!J:J,MATCH(MAX('Line 5'!B:B)/2,'Line 5'!B:B)),I66+H66))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5'!J:J,MATCH(MAX('Line 5'!B:B)/2,'Line 5'!B:B)),I67+H67))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5'!J:J,MATCH(MAX('Line 5'!B:B)/2,'Line 5'!B:B)),I68+H68))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5'!J:J,MATCH(MAX('Line 5'!B:B)/2,'Line 5'!B:B)),I69+H69))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5'!J:J,MATCH(MAX('Line 5'!B:B)/2,'Line 5'!B:B)),I70+H70))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5'!J:J,MATCH(MAX('Line 5'!B:B)/2,'Line 5'!B:B)),I71+H71))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5'!J:J,MATCH(MAX('Line 5'!B:B)/2,'Line 5'!B:B)),I72+H72))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5'!J:J,MATCH(MAX('Line 5'!B:B)/2,'Line 5'!B:B)),I73+H73))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5'!J:J,MATCH(MAX('Line 5'!B:B)/2,'Line 5'!B:B)),I74+H74))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5'!J:J,MATCH(MAX('Line 5'!B:B)/2,'Line 5'!B:B)),I75+H75))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5'!J:J,MATCH(MAX('Line 5'!B:B)/2,'Line 5'!B:B)),I76+H76))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5'!J:J,MATCH(MAX('Line 5'!B:B)/2,'Line 5'!B:B)),I77+H77))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5'!J:J,MATCH(MAX('Line 5'!B:B)/2,'Line 5'!B:B)),I78+H78))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5'!J:J,MATCH(MAX('Line 5'!B:B)/2,'Line 5'!B:B)),I79+H79))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5'!J:J,MATCH(MAX('Line 5'!B:B)/2,'Line 5'!B:B)),I80+H80))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5'!J:J,MATCH(MAX('Line 5'!B:B)/2,'Line 5'!B:B)),I81+H81))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5'!J:J,MATCH(MAX('Line 5'!B:B)/2,'Line 5'!B:B)),I82+H82))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5'!J:J,MATCH(MAX('Line 5'!B:B)/2,'Line 5'!B:B)),I83+H83))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5'!J:J,MATCH(MAX('Line 5'!B:B)/2,'Line 5'!B:B)),I84+H84))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5'!J:J,MATCH(MAX('Line 5'!B:B)/2,'Line 5'!B:B)),I85+H85))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5'!J:J,MATCH(MAX('Line 5'!B:B)/2,'Line 5'!B:B)),I86+H86))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5'!J:J,MATCH(MAX('Line 5'!B:B)/2,'Line 5'!B:B)),I87+H87))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5'!J:J,MATCH(MAX('Line 5'!B:B)/2,'Line 5'!B:B)),I88+H88))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5'!J:J,MATCH(MAX('Line 5'!B:B)/2,'Line 5'!B:B)),I89+H89))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5'!J:J,MATCH(MAX('Line 5'!B:B)/2,'Line 5'!B:B)),I90+H90))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5'!J:J,MATCH(MAX('Line 5'!B:B)/2,'Line 5'!B:B)),I91+H91))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5'!J:J,MATCH(MAX('Line 5'!B:B)/2,'Line 5'!B:B)),I92+H92))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5'!J:J,MATCH(MAX('Line 5'!B:B)/2,'Line 5'!B:B)),I93+H93))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5'!J:J,MATCH(MAX('Line 5'!B:B)/2,'Line 5'!B:B)),I94+H94))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5'!J:J,MATCH(MAX('Line 5'!B:B)/2,'Line 5'!B:B)),I95+H95))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5'!J:J,MATCH(MAX('Line 5'!B:B)/2,'Line 5'!B:B)),I96+H96))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5'!J:J,MATCH(MAX('Line 5'!B:B)/2,'Line 5'!B:B)),I97+H97))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5'!J:J,MATCH(MAX('Line 5'!B:B)/2,'Line 5'!B:B)),I98+H98))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5'!J:J,MATCH(MAX('Line 5'!B:B)/2,'Line 5'!B:B)),I99+H99))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5'!J:J,MATCH(MAX('Line 5'!B:B)/2,'Line 5'!B:B)),I100+H100))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5'!J:J,MATCH(MAX('Line 5'!B:B)/2,'Line 5'!B:B)),I101+H101))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5'!J:J,MATCH(MAX('Line 5'!B:B)/2,'Line 5'!B:B)),I102+H102))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5'!J:J,MATCH(MAX('Line 5'!B:B)/2,'Line 5'!B:B)),I103+H103))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5'!J:J,MATCH(MAX('Line 5'!B:B)/2,'Line 5'!B:B)),I104+H104))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5'!J:J,MATCH(MAX('Line 5'!B:B)/2,'Line 5'!B:B)),I105+H105))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5'!J:J,MATCH(MAX('Line 5'!B:B)/2,'Line 5'!B:B)),I106+H106))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5'!J:J,MATCH(MAX('Line 5'!B:B)/2,'Line 5'!B:B)),I107+H107))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5'!J:J,MATCH(MAX('Line 5'!B:B)/2,'Line 5'!B:B)),I108+H108))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5">
      <formula>$M10="Midstation Row!"</formula>
    </cfRule>
  </conditionalFormatting>
  <conditionalFormatting sqref="M10:M108">
    <cfRule type="cellIs" dxfId="19" priority="11" operator="equal">
      <formula>""</formula>
    </cfRule>
    <cfRule type="cellIs" dxfId="18" priority="12" operator="equal">
      <formula>"Midstation Row!"</formula>
    </cfRule>
  </conditionalFormatting>
  <conditionalFormatting sqref="L32:M108 J1:K3 B10:B108 F10:I108 L10:M28 M14:M108">
    <cfRule type="cellIs" dxfId="17" priority="10" operator="equal">
      <formula>""</formula>
    </cfRule>
  </conditionalFormatting>
  <conditionalFormatting sqref="J10:K109">
    <cfRule type="cellIs" dxfId="16" priority="9" operator="equal">
      <formula>""</formula>
    </cfRule>
  </conditionalFormatting>
  <conditionalFormatting sqref="D9:E9">
    <cfRule type="expression" dxfId="15" priority="8">
      <formula>$B9=""</formula>
    </cfRule>
  </conditionalFormatting>
  <conditionalFormatting sqref="D10:E108">
    <cfRule type="expression" dxfId="14" priority="7">
      <formula>$B10=""</formula>
    </cfRule>
  </conditionalFormatting>
  <conditionalFormatting sqref="I10">
    <cfRule type="expression" dxfId="13" priority="6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34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2970</v>
      </c>
      <c r="K2" s="155" t="s">
        <v>5</v>
      </c>
    </row>
    <row r="3" spans="1:14" x14ac:dyDescent="0.2">
      <c r="A3" s="83"/>
      <c r="J3" s="154">
        <f>ABS(J1-J2)</f>
        <v>2961</v>
      </c>
      <c r="K3" s="155" t="s">
        <v>6</v>
      </c>
    </row>
    <row r="4" spans="1:14" ht="18.75" thickBot="1" x14ac:dyDescent="0.3">
      <c r="A4" s="83"/>
      <c r="G4" s="86" t="s">
        <v>64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-16.5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4'!J:J,MATCH(MAX('Line 4'!B:B)/2,'Line 4'!B:B))</f>
        <v>148.5</v>
      </c>
      <c r="J8" s="114">
        <f>IF(B8="","",I8+H8)</f>
        <v>148.5</v>
      </c>
      <c r="K8" s="115">
        <f>IF(B8="","",ROUND(J8*$N$7,0))</f>
        <v>2970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132</v>
      </c>
      <c r="J9" s="114">
        <f>IF(B9="","",I9+H9)</f>
        <v>132</v>
      </c>
      <c r="K9" s="115">
        <f t="shared" ref="K9:K72" si="0">IF(B9="","",ROUND(J9*$N$7,0))</f>
        <v>2640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IF(B10="","",IF(B10=Setup!$F$13,J10-H10,I11-$N$5))</f>
        <v>115.5</v>
      </c>
      <c r="J10" s="114">
        <f>IF(B10="","",IF(B10=Setup!$F$13,INDEX('Line 6'!J:J,MATCH(MAX('Line 6'!B:B)/2,'Line 6'!B:B)),I10+H10))</f>
        <v>116.5</v>
      </c>
      <c r="K10" s="121">
        <f t="shared" si="0"/>
        <v>2330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IF(B11="","",IF(B11=Setup!$F$13,J11-H11,I12-$N$5))</f>
        <v>99</v>
      </c>
      <c r="J11" s="114">
        <f>IF(B11="","",IF(B11=Setup!$F$13,INDEX('Line 6'!J:J,MATCH(MAX('Line 6'!B:B)/2,'Line 6'!B:B)),I11+H11))</f>
        <v>102</v>
      </c>
      <c r="K11" s="121">
        <f t="shared" si="0"/>
        <v>2040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5">A11+1</f>
        <v>3</v>
      </c>
      <c r="B12" s="108">
        <f>IF(Setup!$F$13&gt;A12,'Line 1'!B11+1,"")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IF(B12="","",IF(B12=Setup!$F$13,J12-H12,I13-$N$5))</f>
        <v>82.5</v>
      </c>
      <c r="J12" s="114">
        <f>IF(B12="","",IF(B12=Setup!$F$13,INDEX('Line 6'!J:J,MATCH(MAX('Line 6'!B:B)/2,'Line 6'!B:B)),I12+H12))</f>
        <v>88.5</v>
      </c>
      <c r="K12" s="121">
        <f t="shared" si="0"/>
        <v>1770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5"/>
        <v>4</v>
      </c>
      <c r="B13" s="108">
        <f>IF(Setup!$F$13&gt;A13,'Line 1'!B12+1,"")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IF(B13="","",IF(B13=Setup!$F$13,J13-H13,I14-$N$5))</f>
        <v>66</v>
      </c>
      <c r="J13" s="114">
        <f>IF(B13="","",IF(B13=Setup!$F$13,INDEX('Line 6'!J:J,MATCH(MAX('Line 6'!B:B)/2,'Line 6'!B:B)),I13+H13))</f>
        <v>76</v>
      </c>
      <c r="K13" s="121">
        <f t="shared" si="0"/>
        <v>1520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5"/>
        <v>5</v>
      </c>
      <c r="B14" s="108">
        <f>IF(Setup!$F$13&gt;A14,'Line 1'!B13+1,"")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IF(B14="","",IF(B14=Setup!$F$13,J14-H14,I15-$N$5))</f>
        <v>49.5</v>
      </c>
      <c r="J14" s="114">
        <f>IF(B14="","",IF(B14=Setup!$F$13,INDEX('Line 6'!J:J,MATCH(MAX('Line 6'!B:B)/2,'Line 6'!B:B)),I14+H14))</f>
        <v>64.5</v>
      </c>
      <c r="K14" s="121">
        <f t="shared" si="0"/>
        <v>1290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5"/>
        <v>6</v>
      </c>
      <c r="B15" s="108">
        <f>IF(Setup!$F$13&gt;A15,'Line 1'!B14+1,"")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IF(B15="","",IF(B15=Setup!$F$13,J15-H15,I16-$N$5))</f>
        <v>33</v>
      </c>
      <c r="J15" s="114">
        <f>IF(B15="","",IF(B15=Setup!$F$13,INDEX('Line 6'!J:J,MATCH(MAX('Line 6'!B:B)/2,'Line 6'!B:B)),I15+H15))</f>
        <v>54</v>
      </c>
      <c r="K15" s="121">
        <f t="shared" si="0"/>
        <v>1080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5"/>
        <v>7</v>
      </c>
      <c r="B16" s="108">
        <f>IF(Setup!$F$13&gt;A16,'Line 1'!B15+1,"")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IF(B16="","",IF(B16=Setup!$F$13,J16-H16,I17-$N$5))</f>
        <v>16.5</v>
      </c>
      <c r="J16" s="114">
        <f>IF(B16="","",IF(B16=Setup!$F$13,INDEX('Line 6'!J:J,MATCH(MAX('Line 6'!B:B)/2,'Line 6'!B:B)),I16+H16))</f>
        <v>44.5</v>
      </c>
      <c r="K16" s="121">
        <f t="shared" si="0"/>
        <v>890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5"/>
        <v>8</v>
      </c>
      <c r="B17" s="108">
        <f>IF(Setup!$F$13&gt;A17,'Line 1'!B16+1,"")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IF(B17="","",IF(B17=Setup!$F$13,J17-H17,I18-$N$5))</f>
        <v>0</v>
      </c>
      <c r="J17" s="114">
        <f>IF(B17="","",IF(B17=Setup!$F$13,INDEX('Line 6'!J:J,MATCH(MAX('Line 6'!B:B)/2,'Line 6'!B:B)),I17+H17))</f>
        <v>36</v>
      </c>
      <c r="K17" s="121">
        <f t="shared" si="0"/>
        <v>720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5"/>
        <v>9</v>
      </c>
      <c r="B18" s="108">
        <f>IF(Setup!$F$13&gt;A18,'Line 1'!B17+1,"")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IF(B18="","",IF(B18=Setup!$F$13,J18-H18,I19-$N$5))</f>
        <v>-16.5</v>
      </c>
      <c r="J18" s="114">
        <f>IF(B18="","",IF(B18=Setup!$F$13,INDEX('Line 6'!J:J,MATCH(MAX('Line 6'!B:B)/2,'Line 6'!B:B)),I18+H18))</f>
        <v>28.5</v>
      </c>
      <c r="K18" s="121">
        <f t="shared" si="0"/>
        <v>570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5"/>
        <v>10</v>
      </c>
      <c r="B19" s="108">
        <f>IF(Setup!$F$13&gt;A19,'Line 1'!B18+1,"")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IF(B19="","",IF(B19=Setup!$F$13,J19-H19,I20-$N$5))</f>
        <v>-33</v>
      </c>
      <c r="J19" s="114">
        <f>IF(B19="","",IF(B19=Setup!$F$13,INDEX('Line 6'!J:J,MATCH(MAX('Line 6'!B:B)/2,'Line 6'!B:B)),I19+H19))</f>
        <v>22</v>
      </c>
      <c r="K19" s="121">
        <f t="shared" si="0"/>
        <v>440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5"/>
        <v>11</v>
      </c>
      <c r="B20" s="108">
        <f>IF(Setup!$F$13&gt;A20,'Line 1'!B19+1,"")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IF(B20="","",IF(B20=Setup!$F$13,J20-H20,I21-$N$5))</f>
        <v>-49.5</v>
      </c>
      <c r="J20" s="114">
        <f>IF(B20="","",IF(B20=Setup!$F$13,INDEX('Line 6'!J:J,MATCH(MAX('Line 6'!B:B)/2,'Line 6'!B:B)),I20+H20))</f>
        <v>16.5</v>
      </c>
      <c r="K20" s="121">
        <f t="shared" si="0"/>
        <v>330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5"/>
        <v>12</v>
      </c>
      <c r="B21" s="108">
        <f>IF(Setup!$F$13&gt;A21,'Line 1'!B20+1,"")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IF(B21="","",IF(B21=Setup!$F$13,J21-H21,I22-$N$5))</f>
        <v>-66</v>
      </c>
      <c r="J21" s="114">
        <f>IF(B21="","",IF(B21=Setup!$F$13,INDEX('Line 6'!J:J,MATCH(MAX('Line 6'!B:B)/2,'Line 6'!B:B)),I21+H21))</f>
        <v>12</v>
      </c>
      <c r="K21" s="121">
        <f t="shared" si="0"/>
        <v>240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5"/>
        <v>13</v>
      </c>
      <c r="B22" s="108">
        <f>IF(Setup!$F$13&gt;A22,'Line 1'!B21+1,"")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IF(B22="","",IF(B22=Setup!$F$13,J22-H22,I23-$N$5))</f>
        <v>-82.5</v>
      </c>
      <c r="J22" s="114">
        <f>IF(B22="","",IF(B22=Setup!$F$13,INDEX('Line 6'!J:J,MATCH(MAX('Line 6'!B:B)/2,'Line 6'!B:B)),I22+H22))</f>
        <v>8.5</v>
      </c>
      <c r="K22" s="121">
        <f t="shared" si="0"/>
        <v>170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5"/>
        <v>14</v>
      </c>
      <c r="B23" s="108">
        <f>IF(Setup!$F$13&gt;A23,'Line 1'!B22+1,"")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IF(B23="","",IF(B23=Setup!$F$13,J23-H23,I24-$N$5))</f>
        <v>-99</v>
      </c>
      <c r="J23" s="114">
        <f>IF(B23="","",IF(B23=Setup!$F$13,INDEX('Line 6'!J:J,MATCH(MAX('Line 6'!B:B)/2,'Line 6'!B:B)),I23+H23))</f>
        <v>6</v>
      </c>
      <c r="K23" s="121">
        <f t="shared" si="0"/>
        <v>120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5"/>
        <v>15</v>
      </c>
      <c r="B24" s="108">
        <f>IF(Setup!$F$13&gt;A24,'Line 1'!B23+1,"")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IF(B24="","",IF(B24=Setup!$F$13,J24-H24,I25-$N$5))</f>
        <v>-115.5</v>
      </c>
      <c r="J24" s="114">
        <f>IF(B24="","",IF(B24=Setup!$F$13,INDEX('Line 6'!J:J,MATCH(MAX('Line 6'!B:B)/2,'Line 6'!B:B)),I24+H24))</f>
        <v>4.5</v>
      </c>
      <c r="K24" s="121">
        <f t="shared" si="0"/>
        <v>90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5"/>
        <v>16</v>
      </c>
      <c r="B25" s="108">
        <f>IF(Setup!$F$13&gt;A25,'Line 1'!B24+1,"")</f>
        <v>17</v>
      </c>
      <c r="C25" s="54">
        <f t="shared" si="4"/>
        <v>17</v>
      </c>
      <c r="D25" s="55"/>
      <c r="E25" s="55"/>
      <c r="F25" s="113">
        <f t="shared" si="1"/>
        <v>17</v>
      </c>
      <c r="G25" s="119">
        <f t="shared" si="2"/>
        <v>16</v>
      </c>
      <c r="H25" s="113">
        <f t="shared" si="3"/>
        <v>136</v>
      </c>
      <c r="I25" s="120">
        <f>IF(B25="","",IF(B25=Setup!$F$13,J25-H25,I26-$N$5))</f>
        <v>-132</v>
      </c>
      <c r="J25" s="114">
        <f>IF(B25="","",IF(B25=Setup!$F$13,INDEX('Line 6'!J:J,MATCH(MAX('Line 6'!B:B)/2,'Line 6'!B:B)),I25+H25))</f>
        <v>4</v>
      </c>
      <c r="K25" s="121">
        <f t="shared" si="0"/>
        <v>80</v>
      </c>
      <c r="L25" s="124"/>
      <c r="M25" s="123" t="str">
        <f>IF(B25="","",IF(B25*2=Setup!$F$13,"midstation row!",""))</f>
        <v>midstation row!</v>
      </c>
    </row>
    <row r="26" spans="1:14" x14ac:dyDescent="0.2">
      <c r="A26" s="83">
        <f t="shared" si="5"/>
        <v>17</v>
      </c>
      <c r="B26" s="108">
        <f>IF(Setup!$F$13&gt;A26,'Line 1'!B25+1,"")</f>
        <v>18</v>
      </c>
      <c r="C26" s="54">
        <f t="shared" si="4"/>
        <v>18</v>
      </c>
      <c r="D26" s="55"/>
      <c r="E26" s="55"/>
      <c r="F26" s="113">
        <f t="shared" si="1"/>
        <v>18</v>
      </c>
      <c r="G26" s="119">
        <f t="shared" si="2"/>
        <v>17</v>
      </c>
      <c r="H26" s="113">
        <f t="shared" si="3"/>
        <v>153</v>
      </c>
      <c r="I26" s="120">
        <f>IF(B26="","",IF(B26=Setup!$F$13,J26-H26,I27-$N$5))</f>
        <v>-148.5</v>
      </c>
      <c r="J26" s="114">
        <f>IF(B26="","",IF(B26=Setup!$F$13,INDEX('Line 6'!J:J,MATCH(MAX('Line 6'!B:B)/2,'Line 6'!B:B)),I26+H26))</f>
        <v>4.5</v>
      </c>
      <c r="K26" s="121">
        <f t="shared" si="0"/>
        <v>90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5"/>
        <v>18</v>
      </c>
      <c r="B27" s="108">
        <f>IF(Setup!$F$13&gt;A27,'Line 1'!B26+1,"")</f>
        <v>19</v>
      </c>
      <c r="C27" s="54">
        <f t="shared" si="4"/>
        <v>19</v>
      </c>
      <c r="D27" s="55"/>
      <c r="E27" s="55"/>
      <c r="F27" s="113">
        <f t="shared" si="1"/>
        <v>19</v>
      </c>
      <c r="G27" s="119">
        <f t="shared" si="2"/>
        <v>18</v>
      </c>
      <c r="H27" s="113">
        <f t="shared" si="3"/>
        <v>171</v>
      </c>
      <c r="I27" s="120">
        <f>IF(B27="","",IF(B27=Setup!$F$13,J27-H27,I28-$N$5))</f>
        <v>-165</v>
      </c>
      <c r="J27" s="114">
        <f>IF(B27="","",IF(B27=Setup!$F$13,INDEX('Line 6'!J:J,MATCH(MAX('Line 6'!B:B)/2,'Line 6'!B:B)),I27+H27))</f>
        <v>6</v>
      </c>
      <c r="K27" s="121">
        <f t="shared" si="0"/>
        <v>120</v>
      </c>
      <c r="M27" s="123" t="str">
        <f>IF(B27="","",IF(B27*2=Setup!$F$13,"midstation row!",""))</f>
        <v/>
      </c>
    </row>
    <row r="28" spans="1:14" x14ac:dyDescent="0.2">
      <c r="A28" s="83">
        <f t="shared" si="5"/>
        <v>19</v>
      </c>
      <c r="B28" s="108">
        <f>IF(Setup!$F$13&gt;A28,'Line 1'!B27+1,"")</f>
        <v>20</v>
      </c>
      <c r="C28" s="54">
        <f t="shared" si="4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-181.5</v>
      </c>
      <c r="J28" s="114">
        <f>IF(B28="","",IF(B28=Setup!$F$13,INDEX('Line 6'!J:J,MATCH(MAX('Line 6'!B:B)/2,'Line 6'!B:B)),I28+H28))</f>
        <v>8.5</v>
      </c>
      <c r="K28" s="121">
        <f t="shared" si="0"/>
        <v>170</v>
      </c>
      <c r="M28" s="123" t="str">
        <f>IF(B28="","",IF(B28*2=Setup!$F$13,"midstation row!",""))</f>
        <v/>
      </c>
    </row>
    <row r="29" spans="1:14" x14ac:dyDescent="0.2">
      <c r="A29" s="83">
        <f t="shared" si="5"/>
        <v>20</v>
      </c>
      <c r="B29" s="108">
        <f>IF(Setup!$F$13&gt;A29,'Line 1'!B28+1,"")</f>
        <v>21</v>
      </c>
      <c r="C29" s="54">
        <f t="shared" si="4"/>
        <v>21</v>
      </c>
      <c r="D29" s="55"/>
      <c r="E29" s="55"/>
      <c r="F29" s="113">
        <f t="shared" si="1"/>
        <v>21</v>
      </c>
      <c r="G29" s="119">
        <f t="shared" si="2"/>
        <v>20</v>
      </c>
      <c r="H29" s="113">
        <f t="shared" si="3"/>
        <v>210</v>
      </c>
      <c r="I29" s="120">
        <f>IF(B29="","",IF(B29=Setup!$F$13,J29-H29,I30-$N$5))</f>
        <v>-198</v>
      </c>
      <c r="J29" s="114">
        <f>IF(B29="","",IF(B29=Setup!$F$13,INDEX('Line 6'!J:J,MATCH(MAX('Line 6'!B:B)/2,'Line 6'!B:B)),I29+H29))</f>
        <v>12</v>
      </c>
      <c r="K29" s="121">
        <f t="shared" si="0"/>
        <v>240</v>
      </c>
      <c r="M29" s="123" t="str">
        <f>IF(B29="","",IF(B29*2=Setup!$F$13,"midstation row!",""))</f>
        <v/>
      </c>
    </row>
    <row r="30" spans="1:14" x14ac:dyDescent="0.2">
      <c r="A30" s="83">
        <f t="shared" si="5"/>
        <v>21</v>
      </c>
      <c r="B30" s="108">
        <f>IF(Setup!$F$13&gt;A30,'Line 1'!B29+1,"")</f>
        <v>22</v>
      </c>
      <c r="C30" s="54">
        <f t="shared" si="4"/>
        <v>22</v>
      </c>
      <c r="D30" s="55"/>
      <c r="E30" s="55"/>
      <c r="F30" s="113">
        <f t="shared" si="1"/>
        <v>22</v>
      </c>
      <c r="G30" s="119">
        <f t="shared" si="2"/>
        <v>21</v>
      </c>
      <c r="H30" s="113">
        <f t="shared" si="3"/>
        <v>231</v>
      </c>
      <c r="I30" s="120">
        <f>IF(B30="","",IF(B30=Setup!$F$13,J30-H30,I31-$N$5))</f>
        <v>-214.5</v>
      </c>
      <c r="J30" s="114">
        <f>IF(B30="","",IF(B30=Setup!$F$13,INDEX('Line 6'!J:J,MATCH(MAX('Line 6'!B:B)/2,'Line 6'!B:B)),I30+H30))</f>
        <v>16.5</v>
      </c>
      <c r="K30" s="121">
        <f t="shared" si="0"/>
        <v>330</v>
      </c>
      <c r="M30" s="123" t="str">
        <f>IF(B30="","",IF(B30*2=Setup!$F$13,"midstation row!",""))</f>
        <v/>
      </c>
    </row>
    <row r="31" spans="1:14" x14ac:dyDescent="0.2">
      <c r="A31" s="83">
        <f t="shared" si="5"/>
        <v>22</v>
      </c>
      <c r="B31" s="108">
        <f>IF(Setup!$F$13&gt;A31,'Line 1'!B30+1,"")</f>
        <v>23</v>
      </c>
      <c r="C31" s="54">
        <f t="shared" si="4"/>
        <v>23</v>
      </c>
      <c r="D31" s="55"/>
      <c r="E31" s="55"/>
      <c r="F31" s="113">
        <f t="shared" si="1"/>
        <v>23</v>
      </c>
      <c r="G31" s="119">
        <f t="shared" si="2"/>
        <v>22</v>
      </c>
      <c r="H31" s="113">
        <f t="shared" si="3"/>
        <v>253</v>
      </c>
      <c r="I31" s="120">
        <f>IF(B31="","",IF(B31=Setup!$F$13,J31-H31,I32-$N$5))</f>
        <v>-231</v>
      </c>
      <c r="J31" s="114">
        <f>IF(B31="","",IF(B31=Setup!$F$13,INDEX('Line 6'!J:J,MATCH(MAX('Line 6'!B:B)/2,'Line 6'!B:B)),I31+H31))</f>
        <v>22</v>
      </c>
      <c r="K31" s="121">
        <f t="shared" si="0"/>
        <v>440</v>
      </c>
      <c r="M31" s="123" t="str">
        <f>IF(B31="","",IF(B31*2=Setup!$F$13,"midstation row!",""))</f>
        <v/>
      </c>
    </row>
    <row r="32" spans="1:14" x14ac:dyDescent="0.2">
      <c r="A32" s="83">
        <f t="shared" si="5"/>
        <v>23</v>
      </c>
      <c r="B32" s="108">
        <f>IF(Setup!$F$13&gt;A32,'Line 1'!B31+1,"")</f>
        <v>24</v>
      </c>
      <c r="C32" s="54">
        <f t="shared" si="4"/>
        <v>24</v>
      </c>
      <c r="D32" s="55"/>
      <c r="E32" s="55"/>
      <c r="F32" s="113">
        <f t="shared" si="1"/>
        <v>24</v>
      </c>
      <c r="G32" s="119">
        <f t="shared" si="2"/>
        <v>23</v>
      </c>
      <c r="H32" s="113">
        <f t="shared" si="3"/>
        <v>276</v>
      </c>
      <c r="I32" s="120">
        <f>IF(B32="","",IF(B32=Setup!$F$13,J32-H32,I33-$N$5))</f>
        <v>-247.5</v>
      </c>
      <c r="J32" s="114">
        <f>IF(B32="","",IF(B32=Setup!$F$13,INDEX('Line 6'!J:J,MATCH(MAX('Line 6'!B:B)/2,'Line 6'!B:B)),I32+H32))</f>
        <v>28.5</v>
      </c>
      <c r="K32" s="121">
        <f t="shared" si="0"/>
        <v>570</v>
      </c>
      <c r="M32" s="123" t="str">
        <f>IF(B32="","",IF(B32*2=Setup!$F$13,"midstation row!",""))</f>
        <v/>
      </c>
    </row>
    <row r="33" spans="1:13" x14ac:dyDescent="0.2">
      <c r="A33" s="83">
        <f t="shared" si="5"/>
        <v>24</v>
      </c>
      <c r="B33" s="108">
        <f>IF(Setup!$F$13&gt;A33,'Line 1'!B32+1,"")</f>
        <v>25</v>
      </c>
      <c r="C33" s="54">
        <f t="shared" si="4"/>
        <v>25</v>
      </c>
      <c r="D33" s="55"/>
      <c r="E33" s="55"/>
      <c r="F33" s="113">
        <f t="shared" si="1"/>
        <v>25</v>
      </c>
      <c r="G33" s="119">
        <f t="shared" si="2"/>
        <v>24</v>
      </c>
      <c r="H33" s="113">
        <f t="shared" si="3"/>
        <v>300</v>
      </c>
      <c r="I33" s="120">
        <f>IF(B33="","",IF(B33=Setup!$F$13,J33-H33,I34-$N$5))</f>
        <v>-264</v>
      </c>
      <c r="J33" s="114">
        <f>IF(B33="","",IF(B33=Setup!$F$13,INDEX('Line 6'!J:J,MATCH(MAX('Line 6'!B:B)/2,'Line 6'!B:B)),I33+H33))</f>
        <v>36</v>
      </c>
      <c r="K33" s="121">
        <f t="shared" si="0"/>
        <v>720</v>
      </c>
      <c r="M33" s="123" t="str">
        <f>IF(B33="","",IF(B33*2=Setup!$F$13,"midstation row!",""))</f>
        <v/>
      </c>
    </row>
    <row r="34" spans="1:13" x14ac:dyDescent="0.2">
      <c r="A34" s="83">
        <f t="shared" si="5"/>
        <v>25</v>
      </c>
      <c r="B34" s="108">
        <f>IF(Setup!$F$13&gt;A34,'Line 1'!B33+1,"")</f>
        <v>26</v>
      </c>
      <c r="C34" s="54">
        <f t="shared" si="4"/>
        <v>26</v>
      </c>
      <c r="D34" s="55"/>
      <c r="E34" s="55"/>
      <c r="F34" s="113">
        <f t="shared" si="1"/>
        <v>26</v>
      </c>
      <c r="G34" s="119">
        <f t="shared" si="2"/>
        <v>25</v>
      </c>
      <c r="H34" s="113">
        <f t="shared" si="3"/>
        <v>325</v>
      </c>
      <c r="I34" s="120">
        <f>IF(B34="","",IF(B34=Setup!$F$13,J34-H34,I35-$N$5))</f>
        <v>-280.5</v>
      </c>
      <c r="J34" s="114">
        <f>IF(B34="","",IF(B34=Setup!$F$13,INDEX('Line 6'!J:J,MATCH(MAX('Line 6'!B:B)/2,'Line 6'!B:B)),I34+H34))</f>
        <v>44.5</v>
      </c>
      <c r="K34" s="121">
        <f t="shared" si="0"/>
        <v>890</v>
      </c>
      <c r="M34" s="123" t="str">
        <f>IF(B34="","",IF(B34*2=Setup!$F$13,"midstation row!",""))</f>
        <v/>
      </c>
    </row>
    <row r="35" spans="1:13" x14ac:dyDescent="0.2">
      <c r="A35" s="83">
        <f t="shared" si="5"/>
        <v>26</v>
      </c>
      <c r="B35" s="108">
        <f>IF(Setup!$F$13&gt;A35,'Line 1'!B34+1,"")</f>
        <v>27</v>
      </c>
      <c r="C35" s="54">
        <f t="shared" si="4"/>
        <v>27</v>
      </c>
      <c r="D35" s="55"/>
      <c r="E35" s="55"/>
      <c r="F35" s="113">
        <f t="shared" si="1"/>
        <v>27</v>
      </c>
      <c r="G35" s="119">
        <f t="shared" si="2"/>
        <v>26</v>
      </c>
      <c r="H35" s="113">
        <f t="shared" si="3"/>
        <v>351</v>
      </c>
      <c r="I35" s="120">
        <f>IF(B35="","",IF(B35=Setup!$F$13,J35-H35,I36-$N$5))</f>
        <v>-297</v>
      </c>
      <c r="J35" s="114">
        <f>IF(B35="","",IF(B35=Setup!$F$13,INDEX('Line 6'!J:J,MATCH(MAX('Line 6'!B:B)/2,'Line 6'!B:B)),I35+H35))</f>
        <v>54</v>
      </c>
      <c r="K35" s="121">
        <f t="shared" si="0"/>
        <v>1080</v>
      </c>
      <c r="M35" s="123" t="str">
        <f>IF(B35="","",IF(B35*2=Setup!$F$13,"midstation row!",""))</f>
        <v/>
      </c>
    </row>
    <row r="36" spans="1:13" x14ac:dyDescent="0.2">
      <c r="A36" s="83">
        <f t="shared" si="5"/>
        <v>27</v>
      </c>
      <c r="B36" s="108">
        <f>IF(Setup!$F$13&gt;A36,'Line 1'!B35+1,"")</f>
        <v>28</v>
      </c>
      <c r="C36" s="54">
        <f t="shared" si="4"/>
        <v>28</v>
      </c>
      <c r="D36" s="55"/>
      <c r="E36" s="55"/>
      <c r="F36" s="113">
        <f t="shared" si="1"/>
        <v>28</v>
      </c>
      <c r="G36" s="119">
        <f t="shared" si="2"/>
        <v>27</v>
      </c>
      <c r="H36" s="113">
        <f t="shared" si="3"/>
        <v>378</v>
      </c>
      <c r="I36" s="120">
        <f>IF(B36="","",IF(B36=Setup!$F$13,J36-H36,I37-$N$5))</f>
        <v>-313.5</v>
      </c>
      <c r="J36" s="114">
        <f>IF(B36="","",IF(B36=Setup!$F$13,INDEX('Line 6'!J:J,MATCH(MAX('Line 6'!B:B)/2,'Line 6'!B:B)),I36+H36))</f>
        <v>64.5</v>
      </c>
      <c r="K36" s="121">
        <f t="shared" si="0"/>
        <v>1290</v>
      </c>
      <c r="M36" s="123" t="str">
        <f>IF(B36="","",IF(B36*2=Setup!$F$13,"midstation row!",""))</f>
        <v/>
      </c>
    </row>
    <row r="37" spans="1:13" x14ac:dyDescent="0.2">
      <c r="A37" s="83">
        <f t="shared" si="5"/>
        <v>28</v>
      </c>
      <c r="B37" s="108">
        <f>IF(Setup!$F$13&gt;A37,'Line 1'!B36+1,"")</f>
        <v>29</v>
      </c>
      <c r="C37" s="54">
        <f t="shared" si="4"/>
        <v>29</v>
      </c>
      <c r="D37" s="55"/>
      <c r="E37" s="55"/>
      <c r="F37" s="113">
        <f t="shared" si="1"/>
        <v>29</v>
      </c>
      <c r="G37" s="119">
        <f t="shared" si="2"/>
        <v>28</v>
      </c>
      <c r="H37" s="113">
        <f t="shared" si="3"/>
        <v>406</v>
      </c>
      <c r="I37" s="120">
        <f>IF(B37="","",IF(B37=Setup!$F$13,J37-H37,I38-$N$5))</f>
        <v>-330</v>
      </c>
      <c r="J37" s="114">
        <f>IF(B37="","",IF(B37=Setup!$F$13,INDEX('Line 6'!J:J,MATCH(MAX('Line 6'!B:B)/2,'Line 6'!B:B)),I37+H37))</f>
        <v>76</v>
      </c>
      <c r="K37" s="121">
        <f t="shared" si="0"/>
        <v>1520</v>
      </c>
      <c r="M37" s="123" t="str">
        <f>IF(B37="","",IF(B37*2=Setup!$F$13,"midstation row!",""))</f>
        <v/>
      </c>
    </row>
    <row r="38" spans="1:13" x14ac:dyDescent="0.2">
      <c r="A38" s="83">
        <f t="shared" si="5"/>
        <v>29</v>
      </c>
      <c r="B38" s="108">
        <f>IF(Setup!$F$13&gt;A38,'Line 1'!B37+1,"")</f>
        <v>30</v>
      </c>
      <c r="C38" s="54">
        <f t="shared" si="4"/>
        <v>30</v>
      </c>
      <c r="D38" s="55"/>
      <c r="E38" s="55"/>
      <c r="F38" s="113">
        <f t="shared" si="1"/>
        <v>30</v>
      </c>
      <c r="G38" s="119">
        <f t="shared" si="2"/>
        <v>29</v>
      </c>
      <c r="H38" s="113">
        <f t="shared" si="3"/>
        <v>435</v>
      </c>
      <c r="I38" s="120">
        <f>IF(B38="","",IF(B38=Setup!$F$13,J38-H38,I39-$N$5))</f>
        <v>-346.5</v>
      </c>
      <c r="J38" s="114">
        <f>IF(B38="","",IF(B38=Setup!$F$13,INDEX('Line 6'!J:J,MATCH(MAX('Line 6'!B:B)/2,'Line 6'!B:B)),I38+H38))</f>
        <v>88.5</v>
      </c>
      <c r="K38" s="121">
        <f t="shared" si="0"/>
        <v>1770</v>
      </c>
      <c r="M38" s="123" t="str">
        <f>IF(B38="","",IF(B38*2=Setup!$F$13,"midstation row!",""))</f>
        <v/>
      </c>
    </row>
    <row r="39" spans="1:13" x14ac:dyDescent="0.2">
      <c r="A39" s="83">
        <f t="shared" si="5"/>
        <v>30</v>
      </c>
      <c r="B39" s="108">
        <f>IF(Setup!$F$13&gt;A39,'Line 1'!B38+1,"")</f>
        <v>31</v>
      </c>
      <c r="C39" s="54">
        <f t="shared" si="4"/>
        <v>31</v>
      </c>
      <c r="D39" s="55"/>
      <c r="E39" s="55"/>
      <c r="F39" s="113">
        <f t="shared" si="1"/>
        <v>31</v>
      </c>
      <c r="G39" s="119">
        <f t="shared" si="2"/>
        <v>30</v>
      </c>
      <c r="H39" s="113">
        <f t="shared" si="3"/>
        <v>465</v>
      </c>
      <c r="I39" s="120">
        <f>IF(B39="","",IF(B39=Setup!$F$13,J39-H39,I40-$N$5))</f>
        <v>-363</v>
      </c>
      <c r="J39" s="114">
        <f>IF(B39="","",IF(B39=Setup!$F$13,INDEX('Line 6'!J:J,MATCH(MAX('Line 6'!B:B)/2,'Line 6'!B:B)),I39+H39))</f>
        <v>102</v>
      </c>
      <c r="K39" s="121">
        <f t="shared" si="0"/>
        <v>2040</v>
      </c>
      <c r="M39" s="123" t="str">
        <f>IF(B39="","",IF(B39*2=Setup!$F$13,"midstation row!",""))</f>
        <v/>
      </c>
    </row>
    <row r="40" spans="1:13" x14ac:dyDescent="0.2">
      <c r="A40" s="83">
        <f t="shared" si="5"/>
        <v>31</v>
      </c>
      <c r="B40" s="108">
        <f>IF(Setup!$F$13&gt;A40,'Line 1'!B39+1,"")</f>
        <v>32</v>
      </c>
      <c r="C40" s="54">
        <f t="shared" si="4"/>
        <v>32</v>
      </c>
      <c r="D40" s="55"/>
      <c r="E40" s="55"/>
      <c r="F40" s="113">
        <f t="shared" si="1"/>
        <v>32</v>
      </c>
      <c r="G40" s="119">
        <f t="shared" si="2"/>
        <v>31</v>
      </c>
      <c r="H40" s="113">
        <f t="shared" si="3"/>
        <v>496</v>
      </c>
      <c r="I40" s="120">
        <f>IF(B40="","",IF(B40=Setup!$F$13,J40-H40,I41-$N$5))</f>
        <v>-379.5</v>
      </c>
      <c r="J40" s="114">
        <f>IF(B40="","",IF(B40=Setup!$F$13,INDEX('Line 6'!J:J,MATCH(MAX('Line 6'!B:B)/2,'Line 6'!B:B)),I40+H40))</f>
        <v>116.5</v>
      </c>
      <c r="K40" s="121">
        <f t="shared" si="0"/>
        <v>2330</v>
      </c>
      <c r="M40" s="123" t="str">
        <f>IF(B40="","",IF(B40*2=Setup!$F$13,"midstation row!",""))</f>
        <v/>
      </c>
    </row>
    <row r="41" spans="1:13" x14ac:dyDescent="0.2">
      <c r="A41" s="83">
        <f t="shared" si="5"/>
        <v>32</v>
      </c>
      <c r="B41" s="108">
        <f>IF(Setup!$F$13&gt;A41,'Line 1'!B40+1,"")</f>
        <v>33</v>
      </c>
      <c r="C41" s="54">
        <f t="shared" si="4"/>
        <v>33</v>
      </c>
      <c r="D41" s="55"/>
      <c r="E41" s="55"/>
      <c r="F41" s="113">
        <f t="shared" si="1"/>
        <v>33</v>
      </c>
      <c r="G41" s="119">
        <f t="shared" si="2"/>
        <v>32</v>
      </c>
      <c r="H41" s="113">
        <f t="shared" si="3"/>
        <v>528</v>
      </c>
      <c r="I41" s="120">
        <f>IF(B41="","",IF(B41=Setup!$F$13,J41-H41,I42-$N$5))</f>
        <v>-396</v>
      </c>
      <c r="J41" s="114">
        <f>IF(B41="","",IF(B41=Setup!$F$13,INDEX('Line 6'!J:J,MATCH(MAX('Line 6'!B:B)/2,'Line 6'!B:B)),I41+H41))</f>
        <v>132</v>
      </c>
      <c r="K41" s="121">
        <f t="shared" si="0"/>
        <v>2640</v>
      </c>
      <c r="M41" s="123" t="str">
        <f>IF(B41="","",IF(B41*2=Setup!$F$13,"midstation row!",""))</f>
        <v/>
      </c>
    </row>
    <row r="42" spans="1:13" x14ac:dyDescent="0.2">
      <c r="A42" s="83">
        <f t="shared" si="5"/>
        <v>33</v>
      </c>
      <c r="B42" s="108">
        <f>IF(Setup!$F$13&gt;A42,'Line 1'!B41+1,"")</f>
        <v>34</v>
      </c>
      <c r="C42" s="54">
        <f t="shared" si="4"/>
        <v>34</v>
      </c>
      <c r="D42" s="55"/>
      <c r="E42" s="55"/>
      <c r="F42" s="113">
        <f t="shared" si="1"/>
        <v>34</v>
      </c>
      <c r="G42" s="119">
        <f t="shared" si="2"/>
        <v>33</v>
      </c>
      <c r="H42" s="113">
        <f t="shared" si="3"/>
        <v>561</v>
      </c>
      <c r="I42" s="120">
        <f>IF(B42="","",IF(B42=Setup!$F$13,J42-H42,I43-$N$5))</f>
        <v>-412.5</v>
      </c>
      <c r="J42" s="114">
        <f>IF(B42="","",IF(B42=Setup!$F$13,INDEX('Line 6'!J:J,MATCH(MAX('Line 6'!B:B)/2,'Line 6'!B:B)),I42+H42))</f>
        <v>148.5</v>
      </c>
      <c r="K42" s="121">
        <f t="shared" si="0"/>
        <v>2970</v>
      </c>
      <c r="M42" s="123" t="str">
        <f>IF(B42="","",IF(B42*2=Setup!$F$13,"midstation row!",""))</f>
        <v/>
      </c>
    </row>
    <row r="43" spans="1:13" x14ac:dyDescent="0.2">
      <c r="A43" s="83">
        <f t="shared" si="5"/>
        <v>34</v>
      </c>
      <c r="B43" s="108" t="str">
        <f>IF(Setup!$F$13&gt;A43,'Line 1'!B42+1,"")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IF(B43="","",IF(B43=Setup!$F$13,J43-H43,I44-$N$5))</f>
        <v/>
      </c>
      <c r="J43" s="114" t="str">
        <f>IF(B43="","",IF(B43=Setup!$F$13,INDEX('Line 6'!J:J,MATCH(MAX('Line 6'!B:B)/2,'Line 6'!B:B)),I43+H43))</f>
        <v/>
      </c>
      <c r="K43" s="121" t="str">
        <f t="shared" si="0"/>
        <v/>
      </c>
      <c r="M43" s="123" t="str">
        <f>IF(B43="","",IF(B43*2=Setup!$F$13,"midstation row!",""))</f>
        <v/>
      </c>
    </row>
    <row r="44" spans="1:13" x14ac:dyDescent="0.2">
      <c r="A44" s="83">
        <f t="shared" si="5"/>
        <v>35</v>
      </c>
      <c r="B44" s="108" t="str">
        <f>IF(Setup!$F$13&gt;A44,'Line 1'!B43+1,"")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IF(B44="","",IF(B44=Setup!$F$13,J44-H44,I45-$N$5))</f>
        <v/>
      </c>
      <c r="J44" s="114" t="str">
        <f>IF(B44="","",IF(B44=Setup!$F$13,INDEX('Line 6'!J:J,MATCH(MAX('Line 6'!B:B)/2,'Line 6'!B:B)),I44+H44))</f>
        <v/>
      </c>
      <c r="K44" s="121" t="str">
        <f t="shared" si="0"/>
        <v/>
      </c>
      <c r="M44" s="123" t="str">
        <f>IF(B44="","",IF(B44*2=Setup!$F$13,"midstation row!",""))</f>
        <v/>
      </c>
    </row>
    <row r="45" spans="1:13" x14ac:dyDescent="0.2">
      <c r="A45" s="83">
        <f t="shared" si="5"/>
        <v>36</v>
      </c>
      <c r="B45" s="108" t="str">
        <f>IF(Setup!$F$13&gt;A45,'Line 1'!B44+1,"")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IF(B45="","",IF(B45=Setup!$F$13,J45-H45,I46-$N$5))</f>
        <v/>
      </c>
      <c r="J45" s="114" t="str">
        <f>IF(B45="","",IF(B45=Setup!$F$13,INDEX('Line 6'!J:J,MATCH(MAX('Line 6'!B:B)/2,'Line 6'!B:B)),I45+H45))</f>
        <v/>
      </c>
      <c r="K45" s="121" t="str">
        <f t="shared" si="0"/>
        <v/>
      </c>
      <c r="M45" s="123" t="str">
        <f>IF(B45="","",IF(B45*2=Setup!$F$13,"midstation row!",""))</f>
        <v/>
      </c>
    </row>
    <row r="46" spans="1:13" x14ac:dyDescent="0.2">
      <c r="A46" s="83">
        <f t="shared" si="5"/>
        <v>37</v>
      </c>
      <c r="B46" s="108" t="str">
        <f>IF(Setup!$F$13&gt;A46,'Line 1'!B45+1,"")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IF(B46="","",IF(B46=Setup!$F$13,J46-H46,I47-$N$5))</f>
        <v/>
      </c>
      <c r="J46" s="114" t="str">
        <f>IF(B46="","",IF(B46=Setup!$F$13,INDEX('Line 6'!J:J,MATCH(MAX('Line 6'!B:B)/2,'Line 6'!B:B)),I46+H46))</f>
        <v/>
      </c>
      <c r="K46" s="121" t="str">
        <f t="shared" si="0"/>
        <v/>
      </c>
      <c r="M46" s="123" t="str">
        <f>IF(B46="","",IF(B46*2=Setup!$F$13,"midstation row!",""))</f>
        <v/>
      </c>
    </row>
    <row r="47" spans="1:13" x14ac:dyDescent="0.2">
      <c r="A47" s="83">
        <f t="shared" si="5"/>
        <v>38</v>
      </c>
      <c r="B47" s="108" t="str">
        <f>IF(Setup!$F$13&gt;A47,'Line 1'!B46+1,"")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IF(B47="","",IF(B47=Setup!$F$13,J47-H47,I48-$N$5))</f>
        <v/>
      </c>
      <c r="J47" s="114" t="str">
        <f>IF(B47="","",IF(B47=Setup!$F$13,INDEX('Line 6'!J:J,MATCH(MAX('Line 6'!B:B)/2,'Line 6'!B:B)),I47+H47))</f>
        <v/>
      </c>
      <c r="K47" s="121" t="str">
        <f t="shared" si="0"/>
        <v/>
      </c>
      <c r="M47" s="123" t="str">
        <f>IF(B47="","",IF(B47*2=Setup!$F$13,"midstation row!",""))</f>
        <v/>
      </c>
    </row>
    <row r="48" spans="1:13" x14ac:dyDescent="0.2">
      <c r="A48" s="83">
        <f t="shared" si="5"/>
        <v>39</v>
      </c>
      <c r="B48" s="108" t="str">
        <f>IF(Setup!$F$13&gt;A48,'Line 1'!B47+1,"")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IF(B48="","",IF(B48=Setup!$F$13,J48-H48,I49-$N$5))</f>
        <v/>
      </c>
      <c r="J48" s="114" t="str">
        <f>IF(B48="","",IF(B48=Setup!$F$13,INDEX('Line 6'!J:J,MATCH(MAX('Line 6'!B:B)/2,'Line 6'!B:B)),I48+H48))</f>
        <v/>
      </c>
      <c r="K48" s="121" t="str">
        <f t="shared" si="0"/>
        <v/>
      </c>
      <c r="M48" s="123" t="str">
        <f>IF(B48="","",IF(B48*2=Setup!$F$13,"midstation row!",""))</f>
        <v/>
      </c>
    </row>
    <row r="49" spans="1:13" x14ac:dyDescent="0.2">
      <c r="A49" s="83">
        <f t="shared" si="5"/>
        <v>40</v>
      </c>
      <c r="B49" s="108" t="str">
        <f>IF(Setup!$F$13&gt;A49,'Line 1'!B48+1,"")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IF(B49="","",IF(B49=Setup!$F$13,J49-H49,I50-$N$5))</f>
        <v/>
      </c>
      <c r="J49" s="114" t="str">
        <f>IF(B49="","",IF(B49=Setup!$F$13,INDEX('Line 6'!J:J,MATCH(MAX('Line 6'!B:B)/2,'Line 6'!B:B)),I49+H49))</f>
        <v/>
      </c>
      <c r="K49" s="121" t="str">
        <f t="shared" si="0"/>
        <v/>
      </c>
      <c r="M49" s="123" t="str">
        <f>IF(B49="","",IF(B49*2=Setup!$F$13,"midstation row!",""))</f>
        <v/>
      </c>
    </row>
    <row r="50" spans="1:13" x14ac:dyDescent="0.2">
      <c r="A50" s="83">
        <f t="shared" si="5"/>
        <v>41</v>
      </c>
      <c r="B50" s="108" t="str">
        <f>IF(Setup!$F$13&gt;A50,'Line 1'!B49+1,"")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IF(B50="","",IF(B50=Setup!$F$13,J50-H50,I51-$N$5))</f>
        <v/>
      </c>
      <c r="J50" s="114" t="str">
        <f>IF(B50="","",IF(B50=Setup!$F$13,INDEX('Line 6'!J:J,MATCH(MAX('Line 6'!B:B)/2,'Line 6'!B:B)),I50+H50))</f>
        <v/>
      </c>
      <c r="K50" s="121" t="str">
        <f t="shared" si="0"/>
        <v/>
      </c>
      <c r="M50" s="123" t="str">
        <f>IF(B50="","",IF(B50*2=Setup!$F$13,"midstation row!",""))</f>
        <v/>
      </c>
    </row>
    <row r="51" spans="1:13" x14ac:dyDescent="0.2">
      <c r="A51" s="83">
        <f t="shared" si="5"/>
        <v>42</v>
      </c>
      <c r="B51" s="108" t="str">
        <f>IF(Setup!$F$13&gt;A51,'Line 1'!B50+1,"")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IF(B51="","",IF(B51=Setup!$F$13,J51-H51,I52-$N$5))</f>
        <v/>
      </c>
      <c r="J51" s="114" t="str">
        <f>IF(B51="","",IF(B51=Setup!$F$13,INDEX('Line 6'!J:J,MATCH(MAX('Line 6'!B:B)/2,'Line 6'!B:B)),I51+H51))</f>
        <v/>
      </c>
      <c r="K51" s="121" t="str">
        <f t="shared" si="0"/>
        <v/>
      </c>
      <c r="M51" s="123" t="str">
        <f>IF(B51="","",IF(B51*2=Setup!$F$13,"midstation row!",""))</f>
        <v/>
      </c>
    </row>
    <row r="52" spans="1:13" x14ac:dyDescent="0.2">
      <c r="A52" s="83">
        <f t="shared" si="5"/>
        <v>43</v>
      </c>
      <c r="B52" s="108" t="str">
        <f>IF(Setup!$F$13&gt;A52,'Line 1'!B51+1,"")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IF(B52="","",IF(B52=Setup!$F$13,J52-H52,I53-$N$5))</f>
        <v/>
      </c>
      <c r="J52" s="114" t="str">
        <f>IF(B52="","",IF(B52=Setup!$F$13,INDEX('Line 6'!J:J,MATCH(MAX('Line 6'!B:B)/2,'Line 6'!B:B)),I52+H52))</f>
        <v/>
      </c>
      <c r="K52" s="121" t="str">
        <f t="shared" si="0"/>
        <v/>
      </c>
      <c r="M52" s="123" t="str">
        <f>IF(B52="","",IF(B52*2=Setup!$F$13,"midstation row!",""))</f>
        <v/>
      </c>
    </row>
    <row r="53" spans="1:13" x14ac:dyDescent="0.2">
      <c r="A53" s="83">
        <f t="shared" si="5"/>
        <v>44</v>
      </c>
      <c r="B53" s="108" t="str">
        <f>IF(Setup!$F$13&gt;A53,'Line 1'!B52+1,"")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IF(B53="","",IF(B53=Setup!$F$13,J53-H53,I54-$N$5))</f>
        <v/>
      </c>
      <c r="J53" s="114" t="str">
        <f>IF(B53="","",IF(B53=Setup!$F$13,INDEX('Line 6'!J:J,MATCH(MAX('Line 6'!B:B)/2,'Line 6'!B:B)),I53+H53))</f>
        <v/>
      </c>
      <c r="K53" s="121" t="str">
        <f t="shared" si="0"/>
        <v/>
      </c>
      <c r="M53" s="123" t="str">
        <f>IF(B53="","",IF(B53*2=Setup!$F$13,"midstation row!",""))</f>
        <v/>
      </c>
    </row>
    <row r="54" spans="1:13" x14ac:dyDescent="0.2">
      <c r="A54" s="83">
        <f t="shared" si="5"/>
        <v>45</v>
      </c>
      <c r="B54" s="108" t="str">
        <f>IF(Setup!$F$13&gt;A54,'Line 1'!B53+1,"")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IF(B54="","",IF(B54=Setup!$F$13,J54-H54,I55-$N$5))</f>
        <v/>
      </c>
      <c r="J54" s="114" t="str">
        <f>IF(B54="","",IF(B54=Setup!$F$13,INDEX('Line 6'!J:J,MATCH(MAX('Line 6'!B:B)/2,'Line 6'!B:B)),I54+H54))</f>
        <v/>
      </c>
      <c r="K54" s="121" t="str">
        <f t="shared" si="0"/>
        <v/>
      </c>
      <c r="M54" s="123" t="str">
        <f>IF(B54="","",IF(B54*2=Setup!$F$13,"midstation row!",""))</f>
        <v/>
      </c>
    </row>
    <row r="55" spans="1:13" x14ac:dyDescent="0.2">
      <c r="A55" s="83">
        <f t="shared" si="5"/>
        <v>46</v>
      </c>
      <c r="B55" s="108" t="str">
        <f>IF(Setup!$F$13&gt;A55,'Line 1'!B54+1,"")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IF(B55="","",IF(B55=Setup!$F$13,J55-H55,I56-$N$5))</f>
        <v/>
      </c>
      <c r="J55" s="114" t="str">
        <f>IF(B55="","",IF(B55=Setup!$F$13,INDEX('Line 6'!J:J,MATCH(MAX('Line 6'!B:B)/2,'Line 6'!B:B)),I55+H55))</f>
        <v/>
      </c>
      <c r="K55" s="121" t="str">
        <f t="shared" si="0"/>
        <v/>
      </c>
      <c r="M55" s="123" t="str">
        <f>IF(B55="","",IF(B55*2=Setup!$F$13,"midstation row!",""))</f>
        <v/>
      </c>
    </row>
    <row r="56" spans="1:13" x14ac:dyDescent="0.2">
      <c r="A56" s="83">
        <f t="shared" si="5"/>
        <v>47</v>
      </c>
      <c r="B56" s="108" t="str">
        <f>IF(Setup!$F$13&gt;A56,'Line 1'!B55+1,"")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IF(B56="","",IF(B56=Setup!$F$13,J56-H56,I57-$N$5))</f>
        <v/>
      </c>
      <c r="J56" s="114" t="str">
        <f>IF(B56="","",IF(B56=Setup!$F$13,INDEX('Line 6'!J:J,MATCH(MAX('Line 6'!B:B)/2,'Line 6'!B:B)),I56+H56))</f>
        <v/>
      </c>
      <c r="K56" s="121" t="str">
        <f t="shared" si="0"/>
        <v/>
      </c>
      <c r="M56" s="123" t="str">
        <f>IF(B56="","",IF(B56*2=Setup!$F$13,"midstation row!",""))</f>
        <v/>
      </c>
    </row>
    <row r="57" spans="1:13" x14ac:dyDescent="0.2">
      <c r="A57" s="83">
        <f t="shared" si="5"/>
        <v>48</v>
      </c>
      <c r="B57" s="108" t="str">
        <f>IF(Setup!$F$13&gt;A57,'Line 1'!B56+1,"")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IF(B57="","",IF(B57=Setup!$F$13,J57-H57,I58-$N$5))</f>
        <v/>
      </c>
      <c r="J57" s="114" t="str">
        <f>IF(B57="","",IF(B57=Setup!$F$13,INDEX('Line 6'!J:J,MATCH(MAX('Line 6'!B:B)/2,'Line 6'!B:B)),I57+H57))</f>
        <v/>
      </c>
      <c r="K57" s="121" t="str">
        <f t="shared" si="0"/>
        <v/>
      </c>
      <c r="M57" s="123" t="str">
        <f>IF(B57="","",IF(B57*2=Setup!$F$13,"midstation row!",""))</f>
        <v/>
      </c>
    </row>
    <row r="58" spans="1:13" x14ac:dyDescent="0.2">
      <c r="A58" s="83">
        <f t="shared" si="5"/>
        <v>49</v>
      </c>
      <c r="B58" s="108" t="str">
        <f>IF(Setup!$F$13&gt;A58,'Line 1'!B57+1,"")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IF(B58="","",IF(B58=Setup!$F$13,J58-H58,I59-$N$5))</f>
        <v/>
      </c>
      <c r="J58" s="114" t="str">
        <f>IF(B58="","",IF(B58=Setup!$F$13,INDEX('Line 6'!J:J,MATCH(MAX('Line 6'!B:B)/2,'Line 6'!B:B)),I58+H58))</f>
        <v/>
      </c>
      <c r="K58" s="121" t="str">
        <f t="shared" si="0"/>
        <v/>
      </c>
      <c r="M58" s="123" t="str">
        <f>IF(B58="","",IF(B58*2=Setup!$F$13,"midstation row!",""))</f>
        <v/>
      </c>
    </row>
    <row r="59" spans="1:13" x14ac:dyDescent="0.2">
      <c r="A59" s="83">
        <f t="shared" si="5"/>
        <v>50</v>
      </c>
      <c r="B59" s="108" t="str">
        <f>IF(Setup!$F$13&gt;A59,'Line 1'!B58+1,"")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IF(B59="","",IF(B59=Setup!$F$13,J59-H59,I60-$N$5))</f>
        <v/>
      </c>
      <c r="J59" s="114" t="str">
        <f>IF(B59="","",IF(B59=Setup!$F$13,INDEX('Line 6'!J:J,MATCH(MAX('Line 6'!B:B)/2,'Line 6'!B:B)),I59+H59))</f>
        <v/>
      </c>
      <c r="K59" s="121" t="str">
        <f t="shared" si="0"/>
        <v/>
      </c>
      <c r="M59" s="123" t="str">
        <f>IF(B59="","",IF(B59*2=Setup!$F$13,"midstation row!",""))</f>
        <v/>
      </c>
    </row>
    <row r="60" spans="1:13" x14ac:dyDescent="0.2">
      <c r="A60" s="83">
        <f t="shared" si="5"/>
        <v>51</v>
      </c>
      <c r="B60" s="108" t="str">
        <f>IF(Setup!$F$13&gt;A60,'Line 1'!B59+1,"")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IF(B60="","",IF(B60=Setup!$F$13,J60-H60,I61-$N$5))</f>
        <v/>
      </c>
      <c r="J60" s="114" t="str">
        <f>IF(B60="","",IF(B60=Setup!$F$13,INDEX('Line 6'!J:J,MATCH(MAX('Line 6'!B:B)/2,'Line 6'!B:B)),I60+H60))</f>
        <v/>
      </c>
      <c r="K60" s="121" t="str">
        <f t="shared" si="0"/>
        <v/>
      </c>
      <c r="M60" s="123" t="str">
        <f>IF(B60="","",IF(B60*2=Setup!$F$13,"midstation row!",""))</f>
        <v/>
      </c>
    </row>
    <row r="61" spans="1:13" x14ac:dyDescent="0.2">
      <c r="A61" s="83">
        <f t="shared" si="5"/>
        <v>52</v>
      </c>
      <c r="B61" s="108" t="str">
        <f>IF(Setup!$F$13&gt;A61,'Line 1'!B60+1,"")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IF(B61="","",IF(B61=Setup!$F$13,J61-H61,I62-$N$5))</f>
        <v/>
      </c>
      <c r="J61" s="114" t="str">
        <f>IF(B61="","",IF(B61=Setup!$F$13,INDEX('Line 6'!J:J,MATCH(MAX('Line 6'!B:B)/2,'Line 6'!B:B)),I61+H61))</f>
        <v/>
      </c>
      <c r="K61" s="121" t="str">
        <f t="shared" si="0"/>
        <v/>
      </c>
      <c r="M61" s="123" t="str">
        <f>IF(B61="","",IF(B61*2=Setup!$F$13,"midstation row!",""))</f>
        <v/>
      </c>
    </row>
    <row r="62" spans="1:13" x14ac:dyDescent="0.2">
      <c r="A62" s="83">
        <f t="shared" si="5"/>
        <v>53</v>
      </c>
      <c r="B62" s="108" t="str">
        <f>IF(Setup!$F$13&gt;A62,'Line 1'!B61+1,"")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IF(B62="","",IF(B62=Setup!$F$13,J62-H62,I63-$N$5))</f>
        <v/>
      </c>
      <c r="J62" s="114" t="str">
        <f>IF(B62="","",IF(B62=Setup!$F$13,INDEX('Line 6'!J:J,MATCH(MAX('Line 6'!B:B)/2,'Line 6'!B:B)),I62+H62))</f>
        <v/>
      </c>
      <c r="K62" s="121" t="str">
        <f t="shared" si="0"/>
        <v/>
      </c>
      <c r="M62" s="123" t="str">
        <f>IF(B62="","",IF(B62*2=Setup!$F$13,"midstation row!",""))</f>
        <v/>
      </c>
    </row>
    <row r="63" spans="1:13" x14ac:dyDescent="0.2">
      <c r="A63" s="83">
        <f t="shared" si="5"/>
        <v>54</v>
      </c>
      <c r="B63" s="108" t="str">
        <f>IF(Setup!$F$13&gt;A63,'Line 1'!B62+1,"")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IF(B63="","",IF(B63=Setup!$F$13,J63-H63,I64-$N$5))</f>
        <v/>
      </c>
      <c r="J63" s="114" t="str">
        <f>IF(B63="","",IF(B63=Setup!$F$13,INDEX('Line 6'!J:J,MATCH(MAX('Line 6'!B:B)/2,'Line 6'!B:B)),I63+H63))</f>
        <v/>
      </c>
      <c r="K63" s="121" t="str">
        <f t="shared" si="0"/>
        <v/>
      </c>
      <c r="M63" s="123" t="str">
        <f>IF(B63="","",IF(B63*2=Setup!$F$13,"midstation row!",""))</f>
        <v/>
      </c>
    </row>
    <row r="64" spans="1:13" x14ac:dyDescent="0.2">
      <c r="A64" s="83">
        <f t="shared" si="5"/>
        <v>55</v>
      </c>
      <c r="B64" s="108" t="str">
        <f>IF(Setup!$F$13&gt;A64,'Line 1'!B63+1,"")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IF(B64="","",IF(B64=Setup!$F$13,J64-H64,I65-$N$5))</f>
        <v/>
      </c>
      <c r="J64" s="114" t="str">
        <f>IF(B64="","",IF(B64=Setup!$F$13,INDEX('Line 6'!J:J,MATCH(MAX('Line 6'!B:B)/2,'Line 6'!B:B)),I64+H64))</f>
        <v/>
      </c>
      <c r="K64" s="121" t="str">
        <f t="shared" si="0"/>
        <v/>
      </c>
      <c r="M64" s="123" t="str">
        <f>IF(B64="","",IF(B64*2=Setup!$F$13,"midstation row!",""))</f>
        <v/>
      </c>
    </row>
    <row r="65" spans="1:13" x14ac:dyDescent="0.2">
      <c r="A65" s="83">
        <f t="shared" si="5"/>
        <v>56</v>
      </c>
      <c r="B65" s="108" t="str">
        <f>IF(Setup!$F$13&gt;A65,'Line 1'!B64+1,"")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IF(B65="","",IF(B65=Setup!$F$13,J65-H65,I66-$N$5))</f>
        <v/>
      </c>
      <c r="J65" s="114" t="str">
        <f>IF(B65="","",IF(B65=Setup!$F$13,INDEX('Line 6'!J:J,MATCH(MAX('Line 6'!B:B)/2,'Line 6'!B:B)),I65+H65))</f>
        <v/>
      </c>
      <c r="K65" s="121" t="str">
        <f t="shared" si="0"/>
        <v/>
      </c>
      <c r="M65" s="123" t="str">
        <f>IF(B65="","",IF(B65*2=Setup!$F$13,"midstation row!",""))</f>
        <v/>
      </c>
    </row>
    <row r="66" spans="1:13" x14ac:dyDescent="0.2">
      <c r="A66" s="83">
        <f t="shared" si="5"/>
        <v>57</v>
      </c>
      <c r="B66" s="108" t="str">
        <f>IF(Setup!$F$13&gt;A66,'Line 1'!B65+1,"")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IF(B66="","",IF(B66=Setup!$F$13,J66-H66,I67-$N$5))</f>
        <v/>
      </c>
      <c r="J66" s="114" t="str">
        <f>IF(B66="","",IF(B66=Setup!$F$13,INDEX('Line 6'!J:J,MATCH(MAX('Line 6'!B:B)/2,'Line 6'!B:B)),I66+H66))</f>
        <v/>
      </c>
      <c r="K66" s="121" t="str">
        <f t="shared" si="0"/>
        <v/>
      </c>
      <c r="M66" s="123" t="str">
        <f>IF(B66="","",IF(B66*2=Setup!$F$13,"midstation row!",""))</f>
        <v/>
      </c>
    </row>
    <row r="67" spans="1:13" x14ac:dyDescent="0.2">
      <c r="A67" s="83">
        <f t="shared" si="5"/>
        <v>58</v>
      </c>
      <c r="B67" s="108" t="str">
        <f>IF(Setup!$F$13&gt;A67,'Line 1'!B66+1,"")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IF(B67="","",IF(B67=Setup!$F$13,J67-H67,I68-$N$5))</f>
        <v/>
      </c>
      <c r="J67" s="114" t="str">
        <f>IF(B67="","",IF(B67=Setup!$F$13,INDEX('Line 6'!J:J,MATCH(MAX('Line 6'!B:B)/2,'Line 6'!B:B)),I67+H67))</f>
        <v/>
      </c>
      <c r="K67" s="121" t="str">
        <f t="shared" si="0"/>
        <v/>
      </c>
      <c r="M67" s="123" t="str">
        <f>IF(B67="","",IF(B67*2=Setup!$F$13,"midstation row!",""))</f>
        <v/>
      </c>
    </row>
    <row r="68" spans="1:13" x14ac:dyDescent="0.2">
      <c r="A68" s="83">
        <f t="shared" si="5"/>
        <v>59</v>
      </c>
      <c r="B68" s="108" t="str">
        <f>IF(Setup!$F$13&gt;A68,'Line 1'!B67+1,"")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IF(B68="","",IF(B68=Setup!$F$13,J68-H68,I69-$N$5))</f>
        <v/>
      </c>
      <c r="J68" s="114" t="str">
        <f>IF(B68="","",IF(B68=Setup!$F$13,INDEX('Line 6'!J:J,MATCH(MAX('Line 6'!B:B)/2,'Line 6'!B:B)),I68+H68))</f>
        <v/>
      </c>
      <c r="K68" s="121" t="str">
        <f t="shared" si="0"/>
        <v/>
      </c>
      <c r="M68" s="123" t="str">
        <f>IF(B68="","",IF(B68*2=Setup!$F$13,"midstation row!",""))</f>
        <v/>
      </c>
    </row>
    <row r="69" spans="1:13" x14ac:dyDescent="0.2">
      <c r="A69" s="83">
        <f t="shared" si="5"/>
        <v>60</v>
      </c>
      <c r="B69" s="108" t="str">
        <f>IF(Setup!$F$13&gt;A69,'Line 1'!B68+1,"")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IF(B69="","",IF(B69=Setup!$F$13,J69-H69,I70-$N$5))</f>
        <v/>
      </c>
      <c r="J69" s="114" t="str">
        <f>IF(B69="","",IF(B69=Setup!$F$13,INDEX('Line 6'!J:J,MATCH(MAX('Line 6'!B:B)/2,'Line 6'!B:B)),I69+H69))</f>
        <v/>
      </c>
      <c r="K69" s="121" t="str">
        <f t="shared" si="0"/>
        <v/>
      </c>
      <c r="M69" s="123" t="str">
        <f>IF(B69="","",IF(B69*2=Setup!$F$13,"midstation row!",""))</f>
        <v/>
      </c>
    </row>
    <row r="70" spans="1:13" x14ac:dyDescent="0.2">
      <c r="A70" s="83">
        <f t="shared" si="5"/>
        <v>61</v>
      </c>
      <c r="B70" s="108" t="str">
        <f>IF(Setup!$F$13&gt;A70,'Line 1'!B69+1,"")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IF(B70="","",IF(B70=Setup!$F$13,J70-H70,I71-$N$5))</f>
        <v/>
      </c>
      <c r="J70" s="114" t="str">
        <f>IF(B70="","",IF(B70=Setup!$F$13,INDEX('Line 6'!J:J,MATCH(MAX('Line 6'!B:B)/2,'Line 6'!B:B)),I70+H70))</f>
        <v/>
      </c>
      <c r="K70" s="121" t="str">
        <f t="shared" si="0"/>
        <v/>
      </c>
      <c r="M70" s="123" t="str">
        <f>IF(B70="","",IF(B70*2=Setup!$F$13,"midstation row!",""))</f>
        <v/>
      </c>
    </row>
    <row r="71" spans="1:13" x14ac:dyDescent="0.2">
      <c r="A71" s="83">
        <f t="shared" si="5"/>
        <v>62</v>
      </c>
      <c r="B71" s="108" t="str">
        <f>IF(Setup!$F$13&gt;A71,'Line 1'!B70+1,"")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IF(B71="","",IF(B71=Setup!$F$13,J71-H71,I72-$N$5))</f>
        <v/>
      </c>
      <c r="J71" s="114" t="str">
        <f>IF(B71="","",IF(B71=Setup!$F$13,INDEX('Line 6'!J:J,MATCH(MAX('Line 6'!B:B)/2,'Line 6'!B:B)),I71+H71))</f>
        <v/>
      </c>
      <c r="K71" s="121" t="str">
        <f t="shared" si="0"/>
        <v/>
      </c>
      <c r="M71" s="123" t="str">
        <f>IF(B71="","",IF(B71*2=Setup!$F$13,"midstation row!",""))</f>
        <v/>
      </c>
    </row>
    <row r="72" spans="1:13" x14ac:dyDescent="0.2">
      <c r="A72" s="83">
        <f t="shared" si="5"/>
        <v>63</v>
      </c>
      <c r="B72" s="108" t="str">
        <f>IF(Setup!$F$13&gt;A72,'Line 1'!B71+1,"")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IF(B72="","",IF(B72=Setup!$F$13,J72-H72,I73-$N$5))</f>
        <v/>
      </c>
      <c r="J72" s="114" t="str">
        <f>IF(B72="","",IF(B72=Setup!$F$13,INDEX('Line 6'!J:J,MATCH(MAX('Line 6'!B:B)/2,'Line 6'!B:B)),I72+H72))</f>
        <v/>
      </c>
      <c r="K72" s="121" t="str">
        <f t="shared" si="0"/>
        <v/>
      </c>
      <c r="M72" s="123" t="str">
        <f>IF(B72="","",IF(B72*2=Setup!$F$13,"midstation row!",""))</f>
        <v/>
      </c>
    </row>
    <row r="73" spans="1:13" x14ac:dyDescent="0.2">
      <c r="A73" s="83">
        <f t="shared" si="5"/>
        <v>64</v>
      </c>
      <c r="B73" s="108" t="str">
        <f>IF(Setup!$F$13&gt;A73,'Line 1'!B72+1,"")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IF(B73="","",IF(B73=Setup!$F$13,J73-H73,I74-$N$5))</f>
        <v/>
      </c>
      <c r="J73" s="114" t="str">
        <f>IF(B73="","",IF(B73=Setup!$F$13,INDEX('Line 6'!J:J,MATCH(MAX('Line 6'!B:B)/2,'Line 6'!B:B)),I73+H73))</f>
        <v/>
      </c>
      <c r="K73" s="121" t="str">
        <f t="shared" ref="K73:K108" si="6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5"/>
        <v>65</v>
      </c>
      <c r="B74" s="108" t="str">
        <f>IF(Setup!$F$13&gt;A74,'Line 1'!B73+1,"")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IF(B74="","",IF(B74=Setup!$F$13,J74-H74,I75-$N$5))</f>
        <v/>
      </c>
      <c r="J74" s="114" t="str">
        <f>IF(B74="","",IF(B74=Setup!$F$13,INDEX('Line 6'!J:J,MATCH(MAX('Line 6'!B:B)/2,'Line 6'!B:B)),I74+H74))</f>
        <v/>
      </c>
      <c r="K74" s="121" t="str">
        <f t="shared" si="6"/>
        <v/>
      </c>
      <c r="M74" s="123" t="str">
        <f>IF(B74="","",IF(B74*2=Setup!$F$13,"midstation row!",""))</f>
        <v/>
      </c>
    </row>
    <row r="75" spans="1:13" x14ac:dyDescent="0.2">
      <c r="A75" s="83">
        <f t="shared" si="5"/>
        <v>66</v>
      </c>
      <c r="B75" s="108" t="str">
        <f>IF(Setup!$F$13&gt;A75,'Line 1'!B74+1,"")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IF(B75="","",IF(B75=Setup!$F$13,J75-H75,I76-$N$5))</f>
        <v/>
      </c>
      <c r="J75" s="114" t="str">
        <f>IF(B75="","",IF(B75=Setup!$F$13,INDEX('Line 6'!J:J,MATCH(MAX('Line 6'!B:B)/2,'Line 6'!B:B)),I75+H75))</f>
        <v/>
      </c>
      <c r="K75" s="121" t="str">
        <f t="shared" si="6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IF(Setup!$F$13&gt;A76,'Line 1'!B75+1,"")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IF(B76="","",IF(B76=Setup!$F$13,J76-H76,I77-$N$5))</f>
        <v/>
      </c>
      <c r="J76" s="114" t="str">
        <f>IF(B76="","",IF(B76=Setup!$F$13,INDEX('Line 6'!J:J,MATCH(MAX('Line 6'!B:B)/2,'Line 6'!B:B)),I76+H76))</f>
        <v/>
      </c>
      <c r="K76" s="121" t="str">
        <f t="shared" si="6"/>
        <v/>
      </c>
      <c r="M76" s="123" t="str">
        <f>IF(B76="","",IF(B76*2=Setup!$F$13,"midstation row!",""))</f>
        <v/>
      </c>
    </row>
    <row r="77" spans="1:13" x14ac:dyDescent="0.2">
      <c r="A77" s="83">
        <f t="shared" si="11"/>
        <v>68</v>
      </c>
      <c r="B77" s="108" t="str">
        <f>IF(Setup!$F$13&gt;A77,'Line 1'!B76+1,"")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IF(B77="","",IF(B77=Setup!$F$13,J77-H77,I78-$N$5))</f>
        <v/>
      </c>
      <c r="J77" s="114" t="str">
        <f>IF(B77="","",IF(B77=Setup!$F$13,INDEX('Line 6'!J:J,MATCH(MAX('Line 6'!B:B)/2,'Line 6'!B:B)),I77+H77))</f>
        <v/>
      </c>
      <c r="K77" s="121" t="str">
        <f t="shared" si="6"/>
        <v/>
      </c>
      <c r="M77" s="123" t="str">
        <f>IF(B77="","",IF(B77*2=Setup!$F$13,"midstation row!",""))</f>
        <v/>
      </c>
    </row>
    <row r="78" spans="1:13" x14ac:dyDescent="0.2">
      <c r="A78" s="83">
        <f t="shared" si="11"/>
        <v>69</v>
      </c>
      <c r="B78" s="108" t="str">
        <f>IF(Setup!$F$13&gt;A78,'Line 1'!B77+1,"")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IF(B78="","",IF(B78=Setup!$F$13,J78-H78,I79-$N$5))</f>
        <v/>
      </c>
      <c r="J78" s="114" t="str">
        <f>IF(B78="","",IF(B78=Setup!$F$13,INDEX('Line 6'!J:J,MATCH(MAX('Line 6'!B:B)/2,'Line 6'!B:B)),I78+H78))</f>
        <v/>
      </c>
      <c r="K78" s="121" t="str">
        <f t="shared" si="6"/>
        <v/>
      </c>
      <c r="M78" s="123" t="str">
        <f>IF(B78="","",IF(B78*2=Setup!$F$13,"midstation row!",""))</f>
        <v/>
      </c>
    </row>
    <row r="79" spans="1:13" x14ac:dyDescent="0.2">
      <c r="A79" s="83">
        <f t="shared" si="11"/>
        <v>70</v>
      </c>
      <c r="B79" s="108" t="str">
        <f>IF(Setup!$F$13&gt;A79,'Line 1'!B78+1,"")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IF(B79="","",IF(B79=Setup!$F$13,J79-H79,I80-$N$5))</f>
        <v/>
      </c>
      <c r="J79" s="114" t="str">
        <f>IF(B79="","",IF(B79=Setup!$F$13,INDEX('Line 6'!J:J,MATCH(MAX('Line 6'!B:B)/2,'Line 6'!B:B)),I79+H79))</f>
        <v/>
      </c>
      <c r="K79" s="121" t="str">
        <f t="shared" si="6"/>
        <v/>
      </c>
      <c r="M79" s="123" t="str">
        <f>IF(B79="","",IF(B79*2=Setup!$F$13,"midstation row!",""))</f>
        <v/>
      </c>
    </row>
    <row r="80" spans="1:13" x14ac:dyDescent="0.2">
      <c r="A80" s="83">
        <f t="shared" si="11"/>
        <v>71</v>
      </c>
      <c r="B80" s="108" t="str">
        <f>IF(Setup!$F$13&gt;A80,'Line 1'!B79+1,"")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IF(B80="","",IF(B80=Setup!$F$13,J80-H80,I81-$N$5))</f>
        <v/>
      </c>
      <c r="J80" s="114" t="str">
        <f>IF(B80="","",IF(B80=Setup!$F$13,INDEX('Line 6'!J:J,MATCH(MAX('Line 6'!B:B)/2,'Line 6'!B:B)),I80+H80))</f>
        <v/>
      </c>
      <c r="K80" s="121" t="str">
        <f t="shared" si="6"/>
        <v/>
      </c>
      <c r="M80" s="123" t="str">
        <f>IF(B80="","",IF(B80*2=Setup!$F$13,"midstation row!",""))</f>
        <v/>
      </c>
    </row>
    <row r="81" spans="1:13" x14ac:dyDescent="0.2">
      <c r="A81" s="83">
        <f t="shared" si="11"/>
        <v>72</v>
      </c>
      <c r="B81" s="108" t="str">
        <f>IF(Setup!$F$13&gt;A81,'Line 1'!B80+1,"")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IF(B81="","",IF(B81=Setup!$F$13,J81-H81,I82-$N$5))</f>
        <v/>
      </c>
      <c r="J81" s="114" t="str">
        <f>IF(B81="","",IF(B81=Setup!$F$13,INDEX('Line 6'!J:J,MATCH(MAX('Line 6'!B:B)/2,'Line 6'!B:B)),I81+H81))</f>
        <v/>
      </c>
      <c r="K81" s="121" t="str">
        <f t="shared" si="6"/>
        <v/>
      </c>
      <c r="M81" s="123" t="str">
        <f>IF(B81="","",IF(B81*2=Setup!$F$13,"midstation row!",""))</f>
        <v/>
      </c>
    </row>
    <row r="82" spans="1:13" x14ac:dyDescent="0.2">
      <c r="A82" s="83">
        <f t="shared" si="11"/>
        <v>73</v>
      </c>
      <c r="B82" s="108" t="str">
        <f>IF(Setup!$F$13&gt;A82,'Line 1'!B81+1,"")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IF(B82="","",IF(B82=Setup!$F$13,J82-H82,I83-$N$5))</f>
        <v/>
      </c>
      <c r="J82" s="114" t="str">
        <f>IF(B82="","",IF(B82=Setup!$F$13,INDEX('Line 6'!J:J,MATCH(MAX('Line 6'!B:B)/2,'Line 6'!B:B)),I82+H82))</f>
        <v/>
      </c>
      <c r="K82" s="121" t="str">
        <f t="shared" si="6"/>
        <v/>
      </c>
      <c r="M82" s="123" t="str">
        <f>IF(B82="","",IF(B82*2=Setup!$F$13,"midstation row!",""))</f>
        <v/>
      </c>
    </row>
    <row r="83" spans="1:13" x14ac:dyDescent="0.2">
      <c r="A83" s="83">
        <f t="shared" si="11"/>
        <v>74</v>
      </c>
      <c r="B83" s="108" t="str">
        <f>IF(Setup!$F$13&gt;A83,'Line 1'!B82+1,"")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IF(B83="","",IF(B83=Setup!$F$13,J83-H83,I84-$N$5))</f>
        <v/>
      </c>
      <c r="J83" s="114" t="str">
        <f>IF(B83="","",IF(B83=Setup!$F$13,INDEX('Line 6'!J:J,MATCH(MAX('Line 6'!B:B)/2,'Line 6'!B:B)),I83+H83))</f>
        <v/>
      </c>
      <c r="K83" s="121" t="str">
        <f t="shared" si="6"/>
        <v/>
      </c>
      <c r="M83" s="123" t="str">
        <f>IF(B83="","",IF(B83*2=Setup!$F$13,"midstation row!",""))</f>
        <v/>
      </c>
    </row>
    <row r="84" spans="1:13" x14ac:dyDescent="0.2">
      <c r="A84" s="83">
        <f t="shared" si="11"/>
        <v>75</v>
      </c>
      <c r="B84" s="108" t="str">
        <f>IF(Setup!$F$13&gt;A84,'Line 1'!B83+1,"")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IF(B84="","",IF(B84=Setup!$F$13,J84-H84,I85-$N$5))</f>
        <v/>
      </c>
      <c r="J84" s="114" t="str">
        <f>IF(B84="","",IF(B84=Setup!$F$13,INDEX('Line 6'!J:J,MATCH(MAX('Line 6'!B:B)/2,'Line 6'!B:B)),I84+H84))</f>
        <v/>
      </c>
      <c r="K84" s="121" t="str">
        <f t="shared" si="6"/>
        <v/>
      </c>
      <c r="M84" s="123" t="str">
        <f>IF(B84="","",IF(B84*2=Setup!$F$13,"midstation row!",""))</f>
        <v/>
      </c>
    </row>
    <row r="85" spans="1:13" x14ac:dyDescent="0.2">
      <c r="A85" s="83">
        <f t="shared" si="11"/>
        <v>76</v>
      </c>
      <c r="B85" s="108" t="str">
        <f>IF(Setup!$F$13&gt;A85,'Line 1'!B84+1,"")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IF(B85="","",IF(B85=Setup!$F$13,J85-H85,I86-$N$5))</f>
        <v/>
      </c>
      <c r="J85" s="114" t="str">
        <f>IF(B85="","",IF(B85=Setup!$F$13,INDEX('Line 6'!J:J,MATCH(MAX('Line 6'!B:B)/2,'Line 6'!B:B)),I85+H85))</f>
        <v/>
      </c>
      <c r="K85" s="121" t="str">
        <f t="shared" si="6"/>
        <v/>
      </c>
      <c r="M85" s="123" t="str">
        <f>IF(B85="","",IF(B85*2=Setup!$F$13,"midstation row!",""))</f>
        <v/>
      </c>
    </row>
    <row r="86" spans="1:13" x14ac:dyDescent="0.2">
      <c r="A86" s="83">
        <f t="shared" si="11"/>
        <v>77</v>
      </c>
      <c r="B86" s="108" t="str">
        <f>IF(Setup!$F$13&gt;A86,'Line 1'!B85+1,"")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IF(B86="","",IF(B86=Setup!$F$13,J86-H86,I87-$N$5))</f>
        <v/>
      </c>
      <c r="J86" s="114" t="str">
        <f>IF(B86="","",IF(B86=Setup!$F$13,INDEX('Line 6'!J:J,MATCH(MAX('Line 6'!B:B)/2,'Line 6'!B:B)),I86+H86))</f>
        <v/>
      </c>
      <c r="K86" s="121" t="str">
        <f t="shared" si="6"/>
        <v/>
      </c>
      <c r="M86" s="123" t="str">
        <f>IF(B86="","",IF(B86*2=Setup!$F$13,"midstation row!",""))</f>
        <v/>
      </c>
    </row>
    <row r="87" spans="1:13" x14ac:dyDescent="0.2">
      <c r="A87" s="83">
        <f t="shared" si="11"/>
        <v>78</v>
      </c>
      <c r="B87" s="108" t="str">
        <f>IF(Setup!$F$13&gt;A87,'Line 1'!B86+1,"")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IF(B87="","",IF(B87=Setup!$F$13,J87-H87,I88-$N$5))</f>
        <v/>
      </c>
      <c r="J87" s="114" t="str">
        <f>IF(B87="","",IF(B87=Setup!$F$13,INDEX('Line 6'!J:J,MATCH(MAX('Line 6'!B:B)/2,'Line 6'!B:B)),I87+H87))</f>
        <v/>
      </c>
      <c r="K87" s="121" t="str">
        <f t="shared" si="6"/>
        <v/>
      </c>
      <c r="M87" s="123" t="str">
        <f>IF(B87="","",IF(B87*2=Setup!$F$13,"midstation row!",""))</f>
        <v/>
      </c>
    </row>
    <row r="88" spans="1:13" x14ac:dyDescent="0.2">
      <c r="A88" s="83">
        <f t="shared" si="11"/>
        <v>79</v>
      </c>
      <c r="B88" s="108" t="str">
        <f>IF(Setup!$F$13&gt;A88,'Line 1'!B87+1,"")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IF(B88="","",IF(B88=Setup!$F$13,J88-H88,I89-$N$5))</f>
        <v/>
      </c>
      <c r="J88" s="114" t="str">
        <f>IF(B88="","",IF(B88=Setup!$F$13,INDEX('Line 6'!J:J,MATCH(MAX('Line 6'!B:B)/2,'Line 6'!B:B)),I88+H88))</f>
        <v/>
      </c>
      <c r="K88" s="121" t="str">
        <f t="shared" si="6"/>
        <v/>
      </c>
      <c r="M88" s="123" t="str">
        <f>IF(B88="","",IF(B88*2=Setup!$F$13,"midstation row!",""))</f>
        <v/>
      </c>
    </row>
    <row r="89" spans="1:13" x14ac:dyDescent="0.2">
      <c r="A89" s="83">
        <f t="shared" si="11"/>
        <v>80</v>
      </c>
      <c r="B89" s="108" t="str">
        <f>IF(Setup!$F$13&gt;A89,'Line 1'!B88+1,"")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IF(B89="","",IF(B89=Setup!$F$13,J89-H89,I90-$N$5))</f>
        <v/>
      </c>
      <c r="J89" s="114" t="str">
        <f>IF(B89="","",IF(B89=Setup!$F$13,INDEX('Line 6'!J:J,MATCH(MAX('Line 6'!B:B)/2,'Line 6'!B:B)),I89+H89))</f>
        <v/>
      </c>
      <c r="K89" s="121" t="str">
        <f t="shared" si="6"/>
        <v/>
      </c>
      <c r="M89" s="123" t="str">
        <f>IF(B89="","",IF(B89*2=Setup!$F$13,"midstation row!",""))</f>
        <v/>
      </c>
    </row>
    <row r="90" spans="1:13" x14ac:dyDescent="0.2">
      <c r="A90" s="83">
        <f t="shared" si="11"/>
        <v>81</v>
      </c>
      <c r="B90" s="108" t="str">
        <f>IF(Setup!$F$13&gt;A90,'Line 1'!B89+1,"")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IF(B90="","",IF(B90=Setup!$F$13,J90-H90,I91-$N$5))</f>
        <v/>
      </c>
      <c r="J90" s="114" t="str">
        <f>IF(B90="","",IF(B90=Setup!$F$13,INDEX('Line 6'!J:J,MATCH(MAX('Line 6'!B:B)/2,'Line 6'!B:B)),I90+H90))</f>
        <v/>
      </c>
      <c r="K90" s="121" t="str">
        <f t="shared" si="6"/>
        <v/>
      </c>
      <c r="M90" s="123" t="str">
        <f>IF(B90="","",IF(B90*2=Setup!$F$13,"midstation row!",""))</f>
        <v/>
      </c>
    </row>
    <row r="91" spans="1:13" x14ac:dyDescent="0.2">
      <c r="A91" s="83">
        <f t="shared" si="11"/>
        <v>82</v>
      </c>
      <c r="B91" s="108" t="str">
        <f>IF(Setup!$F$13&gt;A91,'Line 1'!B90+1,"")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IF(B91="","",IF(B91=Setup!$F$13,J91-H91,I92-$N$5))</f>
        <v/>
      </c>
      <c r="J91" s="114" t="str">
        <f>IF(B91="","",IF(B91=Setup!$F$13,INDEX('Line 6'!J:J,MATCH(MAX('Line 6'!B:B)/2,'Line 6'!B:B)),I91+H91))</f>
        <v/>
      </c>
      <c r="K91" s="121" t="str">
        <f t="shared" si="6"/>
        <v/>
      </c>
      <c r="M91" s="123" t="str">
        <f>IF(B91="","",IF(B91*2=Setup!$F$13,"midstation row!",""))</f>
        <v/>
      </c>
    </row>
    <row r="92" spans="1:13" x14ac:dyDescent="0.2">
      <c r="A92" s="83">
        <f t="shared" si="11"/>
        <v>83</v>
      </c>
      <c r="B92" s="108" t="str">
        <f>IF(Setup!$F$13&gt;A92,'Line 1'!B91+1,"")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IF(B92="","",IF(B92=Setup!$F$13,J92-H92,I93-$N$5))</f>
        <v/>
      </c>
      <c r="J92" s="114" t="str">
        <f>IF(B92="","",IF(B92=Setup!$F$13,INDEX('Line 6'!J:J,MATCH(MAX('Line 6'!B:B)/2,'Line 6'!B:B)),I92+H92))</f>
        <v/>
      </c>
      <c r="K92" s="121" t="str">
        <f t="shared" si="6"/>
        <v/>
      </c>
      <c r="M92" s="123" t="str">
        <f>IF(B92="","",IF(B92*2=Setup!$F$13,"midstation row!",""))</f>
        <v/>
      </c>
    </row>
    <row r="93" spans="1:13" x14ac:dyDescent="0.2">
      <c r="A93" s="83">
        <f t="shared" si="11"/>
        <v>84</v>
      </c>
      <c r="B93" s="108" t="str">
        <f>IF(Setup!$F$13&gt;A93,'Line 1'!B92+1,"")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IF(B93="","",IF(B93=Setup!$F$13,J93-H93,I94-$N$5))</f>
        <v/>
      </c>
      <c r="J93" s="114" t="str">
        <f>IF(B93="","",IF(B93=Setup!$F$13,INDEX('Line 6'!J:J,MATCH(MAX('Line 6'!B:B)/2,'Line 6'!B:B)),I93+H93))</f>
        <v/>
      </c>
      <c r="K93" s="121" t="str">
        <f t="shared" si="6"/>
        <v/>
      </c>
      <c r="M93" s="123" t="str">
        <f>IF(B93="","",IF(B93*2=Setup!$F$13,"midstation row!",""))</f>
        <v/>
      </c>
    </row>
    <row r="94" spans="1:13" x14ac:dyDescent="0.2">
      <c r="A94" s="83">
        <f t="shared" si="11"/>
        <v>85</v>
      </c>
      <c r="B94" s="108" t="str">
        <f>IF(Setup!$F$13&gt;A94,'Line 1'!B93+1,"")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IF(B94="","",IF(B94=Setup!$F$13,J94-H94,I95-$N$5))</f>
        <v/>
      </c>
      <c r="J94" s="114" t="str">
        <f>IF(B94="","",IF(B94=Setup!$F$13,INDEX('Line 6'!J:J,MATCH(MAX('Line 6'!B:B)/2,'Line 6'!B:B)),I94+H94))</f>
        <v/>
      </c>
      <c r="K94" s="121" t="str">
        <f t="shared" si="6"/>
        <v/>
      </c>
      <c r="M94" s="123" t="str">
        <f>IF(B94="","",IF(B94*2=Setup!$F$13,"midstation row!",""))</f>
        <v/>
      </c>
    </row>
    <row r="95" spans="1:13" x14ac:dyDescent="0.2">
      <c r="A95" s="83">
        <f t="shared" si="11"/>
        <v>86</v>
      </c>
      <c r="B95" s="108" t="str">
        <f>IF(Setup!$F$13&gt;A95,'Line 1'!B94+1,"")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IF(B95="","",IF(B95=Setup!$F$13,J95-H95,I96-$N$5))</f>
        <v/>
      </c>
      <c r="J95" s="114" t="str">
        <f>IF(B95="","",IF(B95=Setup!$F$13,INDEX('Line 6'!J:J,MATCH(MAX('Line 6'!B:B)/2,'Line 6'!B:B)),I95+H95))</f>
        <v/>
      </c>
      <c r="K95" s="121" t="str">
        <f t="shared" si="6"/>
        <v/>
      </c>
      <c r="M95" s="123" t="str">
        <f>IF(B95="","",IF(B95*2=Setup!$F$13,"midstation row!",""))</f>
        <v/>
      </c>
    </row>
    <row r="96" spans="1:13" x14ac:dyDescent="0.2">
      <c r="A96" s="83">
        <f t="shared" si="11"/>
        <v>87</v>
      </c>
      <c r="B96" s="108" t="str">
        <f>IF(Setup!$F$13&gt;A96,'Line 1'!B95+1,"")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IF(B96="","",IF(B96=Setup!$F$13,J96-H96,I97-$N$5))</f>
        <v/>
      </c>
      <c r="J96" s="114" t="str">
        <f>IF(B96="","",IF(B96=Setup!$F$13,INDEX('Line 6'!J:J,MATCH(MAX('Line 6'!B:B)/2,'Line 6'!B:B)),I96+H96))</f>
        <v/>
      </c>
      <c r="K96" s="121" t="str">
        <f t="shared" si="6"/>
        <v/>
      </c>
      <c r="M96" s="123" t="str">
        <f>IF(B96="","",IF(B96*2=Setup!$F$13,"midstation row!",""))</f>
        <v/>
      </c>
    </row>
    <row r="97" spans="1:13" x14ac:dyDescent="0.2">
      <c r="A97" s="83">
        <f t="shared" si="11"/>
        <v>88</v>
      </c>
      <c r="B97" s="108" t="str">
        <f>IF(Setup!$F$13&gt;A97,'Line 1'!B96+1,"")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IF(B97="","",IF(B97=Setup!$F$13,J97-H97,I98-$N$5))</f>
        <v/>
      </c>
      <c r="J97" s="114" t="str">
        <f>IF(B97="","",IF(B97=Setup!$F$13,INDEX('Line 6'!J:J,MATCH(MAX('Line 6'!B:B)/2,'Line 6'!B:B)),I97+H97))</f>
        <v/>
      </c>
      <c r="K97" s="121" t="str">
        <f t="shared" si="6"/>
        <v/>
      </c>
      <c r="M97" s="123" t="str">
        <f>IF(B97="","",IF(B97*2=Setup!$F$13,"midstation row!",""))</f>
        <v/>
      </c>
    </row>
    <row r="98" spans="1:13" x14ac:dyDescent="0.2">
      <c r="A98" s="83">
        <f t="shared" si="11"/>
        <v>89</v>
      </c>
      <c r="B98" s="108" t="str">
        <f>IF(Setup!$F$13&gt;A98,'Line 1'!B97+1,"")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IF(B98="","",IF(B98=Setup!$F$13,J98-H98,I99-$N$5))</f>
        <v/>
      </c>
      <c r="J98" s="114" t="str">
        <f>IF(B98="","",IF(B98=Setup!$F$13,INDEX('Line 6'!J:J,MATCH(MAX('Line 6'!B:B)/2,'Line 6'!B:B)),I98+H98))</f>
        <v/>
      </c>
      <c r="K98" s="121" t="str">
        <f t="shared" si="6"/>
        <v/>
      </c>
      <c r="M98" s="123" t="str">
        <f>IF(B98="","",IF(B98*2=Setup!$F$13,"midstation row!",""))</f>
        <v/>
      </c>
    </row>
    <row r="99" spans="1:13" x14ac:dyDescent="0.2">
      <c r="A99" s="83">
        <f t="shared" si="11"/>
        <v>90</v>
      </c>
      <c r="B99" s="108" t="str">
        <f>IF(Setup!$F$13&gt;A99,'Line 1'!B98+1,"")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IF(B99="","",IF(B99=Setup!$F$13,J99-H99,I100-$N$5))</f>
        <v/>
      </c>
      <c r="J99" s="114" t="str">
        <f>IF(B99="","",IF(B99=Setup!$F$13,INDEX('Line 6'!J:J,MATCH(MAX('Line 6'!B:B)/2,'Line 6'!B:B)),I99+H99))</f>
        <v/>
      </c>
      <c r="K99" s="121" t="str">
        <f t="shared" si="6"/>
        <v/>
      </c>
      <c r="M99" s="123" t="str">
        <f>IF(B99="","",IF(B99*2=Setup!$F$13,"midstation row!",""))</f>
        <v/>
      </c>
    </row>
    <row r="100" spans="1:13" x14ac:dyDescent="0.2">
      <c r="A100" s="83">
        <f t="shared" si="11"/>
        <v>91</v>
      </c>
      <c r="B100" s="108" t="str">
        <f>IF(Setup!$F$13&gt;A100,'Line 1'!B99+1,"")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IF(B100="","",IF(B100=Setup!$F$13,J100-H100,I101-$N$5))</f>
        <v/>
      </c>
      <c r="J100" s="114" t="str">
        <f>IF(B100="","",IF(B100=Setup!$F$13,INDEX('Line 6'!J:J,MATCH(MAX('Line 6'!B:B)/2,'Line 6'!B:B)),I100+H100))</f>
        <v/>
      </c>
      <c r="K100" s="121" t="str">
        <f t="shared" si="6"/>
        <v/>
      </c>
      <c r="M100" s="123" t="str">
        <f>IF(B100="","",IF(B100*2=Setup!$F$13,"midstation row!",""))</f>
        <v/>
      </c>
    </row>
    <row r="101" spans="1:13" x14ac:dyDescent="0.2">
      <c r="A101" s="83">
        <f t="shared" si="11"/>
        <v>92</v>
      </c>
      <c r="B101" s="108" t="str">
        <f>IF(Setup!$F$13&gt;A101,'Line 1'!B100+1,"")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IF(B101="","",IF(B101=Setup!$F$13,J101-H101,I102-$N$5))</f>
        <v/>
      </c>
      <c r="J101" s="114" t="str">
        <f>IF(B101="","",IF(B101=Setup!$F$13,INDEX('Line 6'!J:J,MATCH(MAX('Line 6'!B:B)/2,'Line 6'!B:B)),I101+H101))</f>
        <v/>
      </c>
      <c r="K101" s="121" t="str">
        <f t="shared" si="6"/>
        <v/>
      </c>
      <c r="M101" s="123" t="str">
        <f>IF(B101="","",IF(B101*2=Setup!$F$13,"midstation row!",""))</f>
        <v/>
      </c>
    </row>
    <row r="102" spans="1:13" x14ac:dyDescent="0.2">
      <c r="A102" s="83">
        <f t="shared" si="11"/>
        <v>93</v>
      </c>
      <c r="B102" s="108" t="str">
        <f>IF(Setup!$F$13&gt;A102,'Line 1'!B101+1,"")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IF(B102="","",IF(B102=Setup!$F$13,J102-H102,I103-$N$5))</f>
        <v/>
      </c>
      <c r="J102" s="114" t="str">
        <f>IF(B102="","",IF(B102=Setup!$F$13,INDEX('Line 6'!J:J,MATCH(MAX('Line 6'!B:B)/2,'Line 6'!B:B)),I102+H102))</f>
        <v/>
      </c>
      <c r="K102" s="121" t="str">
        <f t="shared" si="6"/>
        <v/>
      </c>
      <c r="M102" s="123" t="str">
        <f>IF(B102="","",IF(B102*2=Setup!$F$13,"midstation row!",""))</f>
        <v/>
      </c>
    </row>
    <row r="103" spans="1:13" x14ac:dyDescent="0.2">
      <c r="A103" s="83">
        <f t="shared" si="11"/>
        <v>94</v>
      </c>
      <c r="B103" s="108" t="str">
        <f>IF(Setup!$F$13&gt;A103,'Line 1'!B102+1,"")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IF(B103="","",IF(B103=Setup!$F$13,J103-H103,I104-$N$5))</f>
        <v/>
      </c>
      <c r="J103" s="114" t="str">
        <f>IF(B103="","",IF(B103=Setup!$F$13,INDEX('Line 6'!J:J,MATCH(MAX('Line 6'!B:B)/2,'Line 6'!B:B)),I103+H103))</f>
        <v/>
      </c>
      <c r="K103" s="121" t="str">
        <f t="shared" si="6"/>
        <v/>
      </c>
      <c r="M103" s="123" t="str">
        <f>IF(B103="","",IF(B103*2=Setup!$F$13,"midstation row!",""))</f>
        <v/>
      </c>
    </row>
    <row r="104" spans="1:13" x14ac:dyDescent="0.2">
      <c r="A104" s="83">
        <f t="shared" si="11"/>
        <v>95</v>
      </c>
      <c r="B104" s="108" t="str">
        <f>IF(Setup!$F$13&gt;A104,'Line 1'!B103+1,"")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IF(B104="","",IF(B104=Setup!$F$13,J104-H104,I105-$N$5))</f>
        <v/>
      </c>
      <c r="J104" s="114" t="str">
        <f>IF(B104="","",IF(B104=Setup!$F$13,INDEX('Line 6'!J:J,MATCH(MAX('Line 6'!B:B)/2,'Line 6'!B:B)),I104+H104))</f>
        <v/>
      </c>
      <c r="K104" s="121" t="str">
        <f t="shared" si="6"/>
        <v/>
      </c>
      <c r="M104" s="123" t="str">
        <f>IF(B104="","",IF(B104*2=Setup!$F$13,"midstation row!",""))</f>
        <v/>
      </c>
    </row>
    <row r="105" spans="1:13" x14ac:dyDescent="0.2">
      <c r="A105" s="83">
        <f t="shared" si="11"/>
        <v>96</v>
      </c>
      <c r="B105" s="108" t="str">
        <f>IF(Setup!$F$13&gt;A105,'Line 1'!B104+1,"")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IF(B105="","",IF(B105=Setup!$F$13,J105-H105,I106-$N$5))</f>
        <v/>
      </c>
      <c r="J105" s="114" t="str">
        <f>IF(B105="","",IF(B105=Setup!$F$13,INDEX('Line 6'!J:J,MATCH(MAX('Line 6'!B:B)/2,'Line 6'!B:B)),I105+H105))</f>
        <v/>
      </c>
      <c r="K105" s="121" t="str">
        <f t="shared" si="6"/>
        <v/>
      </c>
      <c r="M105" s="123" t="str">
        <f>IF(B105="","",IF(B105*2=Setup!$F$13,"midstation row!",""))</f>
        <v/>
      </c>
    </row>
    <row r="106" spans="1:13" x14ac:dyDescent="0.2">
      <c r="A106" s="83">
        <f t="shared" si="11"/>
        <v>97</v>
      </c>
      <c r="B106" s="108" t="str">
        <f>IF(Setup!$F$13&gt;A106,'Line 1'!B105+1,"")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IF(B106="","",IF(B106=Setup!$F$13,J106-H106,I107-$N$5))</f>
        <v/>
      </c>
      <c r="J106" s="114" t="str">
        <f>IF(B106="","",IF(B106=Setup!$F$13,INDEX('Line 6'!J:J,MATCH(MAX('Line 6'!B:B)/2,'Line 6'!B:B)),I106+H106))</f>
        <v/>
      </c>
      <c r="K106" s="121" t="str">
        <f t="shared" si="6"/>
        <v/>
      </c>
      <c r="M106" s="123" t="str">
        <f>IF(B106="","",IF(B106*2=Setup!$F$13,"midstation row!",""))</f>
        <v/>
      </c>
    </row>
    <row r="107" spans="1:13" x14ac:dyDescent="0.2">
      <c r="A107" s="83">
        <f t="shared" si="11"/>
        <v>98</v>
      </c>
      <c r="B107" s="108" t="str">
        <f>IF(Setup!$F$13&gt;A107,'Line 1'!B106+1,"")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IF(B107="","",IF(B107=Setup!$F$13,J107-H107,I108-$N$5))</f>
        <v/>
      </c>
      <c r="J107" s="114" t="str">
        <f>IF(B107="","",IF(B107=Setup!$F$13,INDEX('Line 6'!J:J,MATCH(MAX('Line 6'!B:B)/2,'Line 6'!B:B)),I107+H107))</f>
        <v/>
      </c>
      <c r="K107" s="121" t="str">
        <f t="shared" si="6"/>
        <v/>
      </c>
      <c r="M107" s="123" t="str">
        <f>IF(B107="","",IF(B107*2=Setup!$F$13,"midstation row!",""))</f>
        <v/>
      </c>
    </row>
    <row r="108" spans="1:13" x14ac:dyDescent="0.2">
      <c r="A108" s="83">
        <f t="shared" si="11"/>
        <v>99</v>
      </c>
      <c r="B108" s="108" t="str">
        <f>IF(Setup!$F$13&gt;A108,'Line 1'!B107+1,"")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IF(B108="","",IF(B108=Setup!$F$13,J108-H108,I109-$N$5))</f>
        <v/>
      </c>
      <c r="J108" s="114" t="str">
        <f>IF(B108="","",IF(B108=Setup!$F$13,INDEX('Line 6'!J:J,MATCH(MAX('Line 6'!B:B)/2,'Line 6'!B:B)),I108+H108))</f>
        <v/>
      </c>
      <c r="K108" s="121" t="str">
        <f t="shared" si="6"/>
        <v/>
      </c>
      <c r="M108" s="123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1" operator="equal">
      <formula>""</formula>
    </cfRule>
    <cfRule type="cellIs" dxfId="9" priority="12" operator="equal">
      <formula>"Midstation Row!"</formula>
    </cfRule>
  </conditionalFormatting>
  <conditionalFormatting sqref="L32:M108 J1:K3 B10:B108 L10:M28 M21:M108 F10:I108">
    <cfRule type="cellIs" dxfId="8" priority="10" operator="equal">
      <formula>""</formula>
    </cfRule>
  </conditionalFormatting>
  <conditionalFormatting sqref="J10:K109">
    <cfRule type="cellIs" dxfId="7" priority="9" operator="equal">
      <formula>""</formula>
    </cfRule>
  </conditionalFormatting>
  <conditionalFormatting sqref="D9:E9">
    <cfRule type="expression" dxfId="6" priority="8">
      <formula>$B9=""</formula>
    </cfRule>
  </conditionalFormatting>
  <conditionalFormatting sqref="D10:E108">
    <cfRule type="expression" dxfId="5" priority="7">
      <formula>$B10=""</formula>
    </cfRule>
  </conditionalFormatting>
  <conditionalFormatting sqref="I10">
    <cfRule type="expression" dxfId="4" priority="6">
      <formula>$M10="Midstation Row!"</formula>
    </cfRule>
  </conditionalFormatting>
  <conditionalFormatting sqref="I10:I108">
    <cfRule type="expression" dxfId="3" priority="5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0"/>
  <sheetViews>
    <sheetView showGridLines="0" workbookViewId="0">
      <selection activeCell="D21" sqref="D21"/>
    </sheetView>
  </sheetViews>
  <sheetFormatPr defaultColWidth="0" defaultRowHeight="12.75" zeroHeight="1" x14ac:dyDescent="0.2"/>
  <cols>
    <col min="1" max="3" width="0.7109375" style="126" customWidth="1"/>
    <col min="4" max="11" width="7.140625" style="67" customWidth="1"/>
    <col min="12" max="12" width="7.28515625" style="67" customWidth="1"/>
    <col min="13" max="13" width="14" style="67" bestFit="1" customWidth="1"/>
    <col min="14" max="14" width="2.85546875" style="67" customWidth="1"/>
    <col min="15" max="15" width="10.7109375" style="67" bestFit="1" customWidth="1"/>
    <col min="16" max="22" width="9.140625" style="67" customWidth="1"/>
    <col min="23" max="23" width="2.5703125" style="67" customWidth="1"/>
    <col min="24" max="16384" width="9.140625" style="67" hidden="1"/>
  </cols>
  <sheetData>
    <row r="1" spans="1:16" ht="13.5" thickBot="1" x14ac:dyDescent="0.25">
      <c r="B1" s="127"/>
      <c r="C1" s="127"/>
      <c r="D1" s="128">
        <f t="shared" ref="D1:K1" si="0">MIN(D5:D120)</f>
        <v>0</v>
      </c>
      <c r="E1" s="129">
        <f t="shared" si="0"/>
        <v>0</v>
      </c>
      <c r="F1" s="129">
        <f t="shared" si="0"/>
        <v>720</v>
      </c>
      <c r="G1" s="129">
        <f t="shared" si="0"/>
        <v>2970</v>
      </c>
      <c r="H1" s="129">
        <f t="shared" si="0"/>
        <v>720</v>
      </c>
      <c r="I1" s="129">
        <f t="shared" si="0"/>
        <v>2970</v>
      </c>
      <c r="J1" s="129">
        <f t="shared" si="0"/>
        <v>80</v>
      </c>
      <c r="K1" s="158">
        <f t="shared" si="0"/>
        <v>80</v>
      </c>
      <c r="L1" s="160">
        <f>MIN(D1:K1)</f>
        <v>0</v>
      </c>
      <c r="M1" s="161" t="s">
        <v>7</v>
      </c>
    </row>
    <row r="2" spans="1:16" ht="13.5" thickBot="1" x14ac:dyDescent="0.25">
      <c r="B2" s="127"/>
      <c r="C2" s="127"/>
      <c r="D2" s="130">
        <f t="shared" ref="D2:K2" si="1">MAX(D5:D120)</f>
        <v>3610</v>
      </c>
      <c r="E2" s="131">
        <f t="shared" si="1"/>
        <v>3610</v>
      </c>
      <c r="F2" s="131">
        <f t="shared" si="1"/>
        <v>3610</v>
      </c>
      <c r="G2" s="131">
        <f t="shared" si="1"/>
        <v>3610</v>
      </c>
      <c r="H2" s="131">
        <f t="shared" si="1"/>
        <v>3610</v>
      </c>
      <c r="I2" s="131">
        <f t="shared" si="1"/>
        <v>3610</v>
      </c>
      <c r="J2" s="131">
        <f t="shared" si="1"/>
        <v>720</v>
      </c>
      <c r="K2" s="159">
        <f t="shared" si="1"/>
        <v>2970</v>
      </c>
      <c r="L2" s="160">
        <f>MAX(D2:K2)</f>
        <v>3610</v>
      </c>
      <c r="M2" s="161" t="s">
        <v>8</v>
      </c>
      <c r="O2" s="180" t="s">
        <v>44</v>
      </c>
      <c r="P2" s="181"/>
    </row>
    <row r="3" spans="1:16" ht="26.25" thickBot="1" x14ac:dyDescent="0.3">
      <c r="B3" s="127"/>
      <c r="C3" s="127"/>
      <c r="D3" s="176" t="s">
        <v>47</v>
      </c>
      <c r="E3" s="177"/>
      <c r="F3" s="177"/>
      <c r="G3" s="177"/>
      <c r="H3" s="177"/>
      <c r="I3" s="177"/>
      <c r="J3" s="177"/>
      <c r="K3" s="177"/>
      <c r="L3" s="162">
        <f>ABS(L1-L2)</f>
        <v>3610</v>
      </c>
      <c r="M3" s="161" t="s">
        <v>9</v>
      </c>
      <c r="O3" s="75" t="s">
        <v>25</v>
      </c>
      <c r="P3" s="165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B</v>
      </c>
    </row>
    <row r="4" spans="1:16" ht="13.5" thickBot="1" x14ac:dyDescent="0.25">
      <c r="B4" s="127"/>
      <c r="C4" s="127"/>
      <c r="D4" s="132">
        <v>1</v>
      </c>
      <c r="E4" s="132">
        <f>D4+1</f>
        <v>2</v>
      </c>
      <c r="F4" s="132">
        <f t="shared" ref="F4:K4" si="2">E4+1</f>
        <v>3</v>
      </c>
      <c r="G4" s="132">
        <f t="shared" si="2"/>
        <v>4</v>
      </c>
      <c r="H4" s="132">
        <f t="shared" si="2"/>
        <v>5</v>
      </c>
      <c r="I4" s="132">
        <f t="shared" si="2"/>
        <v>6</v>
      </c>
      <c r="J4" s="132">
        <f t="shared" si="2"/>
        <v>7</v>
      </c>
      <c r="K4" s="132">
        <f t="shared" si="2"/>
        <v>8</v>
      </c>
      <c r="O4" s="71" t="s">
        <v>39</v>
      </c>
      <c r="P4" s="133" t="str">
        <f>Summary!L3&amp;" µin"</f>
        <v>3610 µin</v>
      </c>
    </row>
    <row r="5" spans="1:16" ht="13.5" thickBot="1" x14ac:dyDescent="0.25">
      <c r="A5" s="126">
        <f>IF(D5="","",ROW(D5)-4)</f>
        <v>1</v>
      </c>
      <c r="B5" s="127">
        <f>IF(F5="","",ROW(F5)-4)</f>
        <v>1</v>
      </c>
      <c r="C5" s="127">
        <f>IF(G5="","",ROW(G5)-4)</f>
        <v>1</v>
      </c>
      <c r="D5" s="134">
        <f>IF('Line 1'!K8="","",ROUND('Line 1'!K8,0))</f>
        <v>3610</v>
      </c>
      <c r="E5" s="134">
        <f>IF('Line 2'!K8="","",ROUND('Line 2'!K8,0))</f>
        <v>3610</v>
      </c>
      <c r="F5" s="134">
        <f>IF('Line 3'!K8="","",ROUND('Line 3'!K8,0))</f>
        <v>3610</v>
      </c>
      <c r="G5" s="134">
        <f>IF('Line 4'!K8="","",ROUND('Line 4'!K8,0))</f>
        <v>3610</v>
      </c>
      <c r="H5" s="134">
        <f>IF('Line 5'!K8="","",ROUND('Line 5'!K8,0))</f>
        <v>3610</v>
      </c>
      <c r="I5" s="134">
        <f>IF('Line 6'!K8="","",ROUND('Line 6'!K8,0))</f>
        <v>3610</v>
      </c>
      <c r="J5" s="134">
        <f>IF('Line 7'!K8="","",ROUND('Line 7'!K8,0))</f>
        <v>720</v>
      </c>
      <c r="K5" s="135">
        <f>IF('Line 8'!K8="","",ROUND('Line 8'!K8,0))</f>
        <v>2970</v>
      </c>
      <c r="L5" s="136"/>
      <c r="M5" s="136"/>
      <c r="O5" s="81" t="s">
        <v>24</v>
      </c>
      <c r="P5" s="39"/>
    </row>
    <row r="6" spans="1:16" ht="13.5" thickBot="1" x14ac:dyDescent="0.25">
      <c r="A6" s="126">
        <f t="shared" ref="A6:A69" si="3">IF(D6="","",ROW(D6)-4)</f>
        <v>2</v>
      </c>
      <c r="B6" s="127">
        <f t="shared" ref="B6:B69" si="4">IF(F6="","",ROW(F6)-4)</f>
        <v>2</v>
      </c>
      <c r="C6" s="127">
        <f t="shared" ref="C6:C69" si="5">IF(G6="","",ROW(G6)-4)</f>
        <v>2</v>
      </c>
      <c r="D6" s="134">
        <f>IF('Line 1'!K9="","",ROUND('Line 1'!K9,0))</f>
        <v>3240</v>
      </c>
      <c r="E6" s="134">
        <f>IF('Line 2'!K9="","",ROUND('Line 2'!K9,0))</f>
        <v>3240</v>
      </c>
      <c r="F6" s="134">
        <f>IF('Line 3'!K9="","",ROUND('Line 3'!K9,0))</f>
        <v>3280</v>
      </c>
      <c r="G6" s="134">
        <f>IF('Line 4'!K9="","",ROUND('Line 4'!K9,0))</f>
        <v>3460</v>
      </c>
      <c r="H6" s="134">
        <f>IF('Line 5'!K9="","",ROUND('Line 5'!K9,0))</f>
        <v>3280</v>
      </c>
      <c r="I6" s="134">
        <f>IF('Line 6'!K9="","",ROUND('Line 6'!K9,0))</f>
        <v>3460</v>
      </c>
      <c r="J6" s="134">
        <f>IF('Line 7'!K9="","",ROUND('Line 7'!K9,0))</f>
        <v>570</v>
      </c>
      <c r="K6" s="135">
        <f>IF('Line 8'!K9="","",ROUND('Line 8'!K9,0))</f>
        <v>2640</v>
      </c>
      <c r="L6" s="136"/>
      <c r="M6" s="136"/>
      <c r="O6" s="141"/>
      <c r="P6" s="137"/>
    </row>
    <row r="7" spans="1:16" x14ac:dyDescent="0.2">
      <c r="A7" s="126">
        <f t="shared" si="3"/>
        <v>3</v>
      </c>
      <c r="B7" s="127">
        <f t="shared" si="4"/>
        <v>3</v>
      </c>
      <c r="C7" s="127">
        <f t="shared" si="5"/>
        <v>3</v>
      </c>
      <c r="D7" s="134">
        <f>IF('Line 1'!K10="","",ROUND('Line 1'!K10,0))</f>
        <v>2890</v>
      </c>
      <c r="E7" s="134">
        <f>IF('Line 2'!K10="","",ROUND('Line 2'!K10,0))</f>
        <v>2890</v>
      </c>
      <c r="F7" s="134">
        <f>IF('Line 3'!K10="","",ROUND('Line 3'!K10,0))</f>
        <v>2970</v>
      </c>
      <c r="G7" s="134">
        <f>IF('Line 4'!K10="","",ROUND('Line 4'!K10,0))</f>
        <v>3330</v>
      </c>
      <c r="H7" s="134">
        <f>IF('Line 5'!K10="","",ROUND('Line 5'!K10,0))</f>
        <v>2970</v>
      </c>
      <c r="I7" s="134">
        <f>IF('Line 6'!K10="","",ROUND('Line 6'!K10,0))</f>
        <v>3330</v>
      </c>
      <c r="J7" s="134">
        <f>IF('Line 7'!K10="","",ROUND('Line 7'!K10,0))</f>
        <v>440</v>
      </c>
      <c r="K7" s="135">
        <f>IF('Line 8'!K10="","",ROUND('Line 8'!K10,0))</f>
        <v>2330</v>
      </c>
      <c r="L7" s="136"/>
      <c r="M7" s="136"/>
      <c r="O7" s="178" t="s">
        <v>15</v>
      </c>
      <c r="P7" s="179"/>
    </row>
    <row r="8" spans="1:16" x14ac:dyDescent="0.2">
      <c r="A8" s="126">
        <f t="shared" si="3"/>
        <v>4</v>
      </c>
      <c r="B8" s="127">
        <f t="shared" si="4"/>
        <v>4</v>
      </c>
      <c r="C8" s="127">
        <f t="shared" si="5"/>
        <v>4</v>
      </c>
      <c r="D8" s="134">
        <f>IF('Line 1'!K11="","",ROUND('Line 1'!K11,0))</f>
        <v>2560</v>
      </c>
      <c r="E8" s="134">
        <f>IF('Line 2'!K11="","",ROUND('Line 2'!K11,0))</f>
        <v>2560</v>
      </c>
      <c r="F8" s="134">
        <f>IF('Line 3'!K11="","",ROUND('Line 3'!K11,0))</f>
        <v>2680</v>
      </c>
      <c r="G8" s="134">
        <f>IF('Line 4'!K11="","",ROUND('Line 4'!K11,0))</f>
        <v>3220</v>
      </c>
      <c r="H8" s="134">
        <f>IF('Line 5'!K11="","",ROUND('Line 5'!K11,0))</f>
        <v>2680</v>
      </c>
      <c r="I8" s="134">
        <f>IF('Line 6'!K11="","",ROUND('Line 6'!K11,0))</f>
        <v>3220</v>
      </c>
      <c r="J8" s="134">
        <f>IF('Line 7'!K11="","",ROUND('Line 7'!K11,0))</f>
        <v>330</v>
      </c>
      <c r="K8" s="135">
        <f>IF('Line 8'!K11="","",ROUND('Line 8'!K11,0))</f>
        <v>2040</v>
      </c>
      <c r="L8" s="136"/>
      <c r="M8" s="136"/>
      <c r="O8" s="76" t="s">
        <v>26</v>
      </c>
      <c r="P8" s="138" t="str">
        <f ca="1">OFFSET(Summary!J4,Setup!F12/2+1,0)&amp;" µin"</f>
        <v>80 µin</v>
      </c>
    </row>
    <row r="9" spans="1:16" ht="13.5" thickBot="1" x14ac:dyDescent="0.25">
      <c r="A9" s="126">
        <f t="shared" si="3"/>
        <v>5</v>
      </c>
      <c r="B9" s="127">
        <f t="shared" si="4"/>
        <v>5</v>
      </c>
      <c r="C9" s="127">
        <f t="shared" si="5"/>
        <v>5</v>
      </c>
      <c r="D9" s="134">
        <f>IF('Line 1'!K12="","",ROUND('Line 1'!K12,0))</f>
        <v>2250</v>
      </c>
      <c r="E9" s="134">
        <f>IF('Line 2'!K12="","",ROUND('Line 2'!K12,0))</f>
        <v>2250</v>
      </c>
      <c r="F9" s="134">
        <f>IF('Line 3'!K12="","",ROUND('Line 3'!K12,0))</f>
        <v>2410</v>
      </c>
      <c r="G9" s="134">
        <f>IF('Line 4'!K12="","",ROUND('Line 4'!K12,0))</f>
        <v>3130</v>
      </c>
      <c r="H9" s="134">
        <f>IF('Line 5'!K12="","",ROUND('Line 5'!K12,0))</f>
        <v>2410</v>
      </c>
      <c r="I9" s="134">
        <f>IF('Line 6'!K12="","",ROUND('Line 6'!K12,0))</f>
        <v>3130</v>
      </c>
      <c r="J9" s="134">
        <f>IF('Line 7'!K12="","",ROUND('Line 7'!K12,0))</f>
        <v>240</v>
      </c>
      <c r="K9" s="135">
        <f>IF('Line 8'!K12="","",ROUND('Line 8'!K12,0))</f>
        <v>1770</v>
      </c>
      <c r="L9" s="136"/>
      <c r="M9" s="136"/>
      <c r="O9" s="139" t="s">
        <v>27</v>
      </c>
      <c r="P9" s="140" t="str">
        <f ca="1">OFFSET(Summary!K4,Setup!F13/2+1,0)&amp;" µin"</f>
        <v>80 µin</v>
      </c>
    </row>
    <row r="10" spans="1:16" ht="13.5" thickBot="1" x14ac:dyDescent="0.25">
      <c r="A10" s="126">
        <f t="shared" si="3"/>
        <v>6</v>
      </c>
      <c r="B10" s="127">
        <f t="shared" si="4"/>
        <v>6</v>
      </c>
      <c r="C10" s="127">
        <f t="shared" si="5"/>
        <v>6</v>
      </c>
      <c r="D10" s="134">
        <f>IF('Line 1'!K13="","",ROUND('Line 1'!K13,0))</f>
        <v>1960</v>
      </c>
      <c r="E10" s="134">
        <f>IF('Line 2'!K13="","",ROUND('Line 2'!K13,0))</f>
        <v>1960</v>
      </c>
      <c r="F10" s="134">
        <f>IF('Line 3'!K13="","",ROUND('Line 3'!K13,0))</f>
        <v>2160</v>
      </c>
      <c r="G10" s="134">
        <f>IF('Line 4'!K13="","",ROUND('Line 4'!K13,0))</f>
        <v>3060</v>
      </c>
      <c r="H10" s="134">
        <f>IF('Line 5'!K13="","",ROUND('Line 5'!K13,0))</f>
        <v>2160</v>
      </c>
      <c r="I10" s="134">
        <f>IF('Line 6'!K13="","",ROUND('Line 6'!K13,0))</f>
        <v>3060</v>
      </c>
      <c r="J10" s="134">
        <f>IF('Line 7'!K13="","",ROUND('Line 7'!K13,0))</f>
        <v>170</v>
      </c>
      <c r="K10" s="135">
        <f>IF('Line 8'!K13="","",ROUND('Line 8'!K13,0))</f>
        <v>1520</v>
      </c>
      <c r="L10" s="136"/>
      <c r="M10" s="136"/>
    </row>
    <row r="11" spans="1:16" ht="13.5" thickBot="1" x14ac:dyDescent="0.25">
      <c r="A11" s="126">
        <f t="shared" si="3"/>
        <v>7</v>
      </c>
      <c r="B11" s="127">
        <f t="shared" si="4"/>
        <v>7</v>
      </c>
      <c r="C11" s="127">
        <f t="shared" si="5"/>
        <v>7</v>
      </c>
      <c r="D11" s="134">
        <f>IF('Line 1'!K14="","",ROUND('Line 1'!K14,0))</f>
        <v>1690</v>
      </c>
      <c r="E11" s="134">
        <f>IF('Line 2'!K14="","",ROUND('Line 2'!K14,0))</f>
        <v>1690</v>
      </c>
      <c r="F11" s="134">
        <f>IF('Line 3'!K14="","",ROUND('Line 3'!K14,0))</f>
        <v>1930</v>
      </c>
      <c r="G11" s="134">
        <f>IF('Line 4'!K14="","",ROUND('Line 4'!K14,0))</f>
        <v>3010</v>
      </c>
      <c r="H11" s="134">
        <f>IF('Line 5'!K14="","",ROUND('Line 5'!K14,0))</f>
        <v>1930</v>
      </c>
      <c r="I11" s="134">
        <f>IF('Line 6'!K14="","",ROUND('Line 6'!K14,0))</f>
        <v>3010</v>
      </c>
      <c r="J11" s="134">
        <f>IF('Line 7'!K14="","",ROUND('Line 7'!K14,0))</f>
        <v>120</v>
      </c>
      <c r="K11" s="135">
        <f>IF('Line 8'!K14="","",ROUND('Line 8'!K14,0))</f>
        <v>1290</v>
      </c>
      <c r="L11" s="136"/>
      <c r="M11" s="136"/>
      <c r="O11" s="163" t="s">
        <v>72</v>
      </c>
      <c r="P11" s="164"/>
    </row>
    <row r="12" spans="1:16" x14ac:dyDescent="0.2">
      <c r="A12" s="126">
        <f t="shared" si="3"/>
        <v>8</v>
      </c>
      <c r="B12" s="127">
        <f t="shared" si="4"/>
        <v>8</v>
      </c>
      <c r="C12" s="127">
        <f t="shared" si="5"/>
        <v>8</v>
      </c>
      <c r="D12" s="134">
        <f>IF('Line 1'!K15="","",ROUND('Line 1'!K15,0))</f>
        <v>1440</v>
      </c>
      <c r="E12" s="134">
        <f>IF('Line 2'!K15="","",ROUND('Line 2'!K15,0))</f>
        <v>1440</v>
      </c>
      <c r="F12" s="134">
        <f>IF('Line 3'!K15="","",ROUND('Line 3'!K15,0))</f>
        <v>1720</v>
      </c>
      <c r="G12" s="134">
        <f>IF('Line 4'!K15="","",ROUND('Line 4'!K15,0))</f>
        <v>2980</v>
      </c>
      <c r="H12" s="134">
        <f>IF('Line 5'!K15="","",ROUND('Line 5'!K15,0))</f>
        <v>1720</v>
      </c>
      <c r="I12" s="134">
        <f>IF('Line 6'!K15="","",ROUND('Line 6'!K15,0))</f>
        <v>2980</v>
      </c>
      <c r="J12" s="134">
        <f>IF('Line 7'!K15="","",ROUND('Line 7'!K15,0))</f>
        <v>90</v>
      </c>
      <c r="K12" s="135">
        <f>IF('Line 8'!K15="","",ROUND('Line 8'!K15,0))</f>
        <v>1080</v>
      </c>
      <c r="L12" s="136"/>
      <c r="M12" s="136"/>
    </row>
    <row r="13" spans="1:16" x14ac:dyDescent="0.2">
      <c r="A13" s="126">
        <f t="shared" si="3"/>
        <v>9</v>
      </c>
      <c r="B13" s="127">
        <f t="shared" si="4"/>
        <v>9</v>
      </c>
      <c r="C13" s="127">
        <f t="shared" si="5"/>
        <v>9</v>
      </c>
      <c r="D13" s="134">
        <f>IF('Line 1'!K16="","",ROUND('Line 1'!K16,0))</f>
        <v>1210</v>
      </c>
      <c r="E13" s="134">
        <f>IF('Line 2'!K16="","",ROUND('Line 2'!K16,0))</f>
        <v>1210</v>
      </c>
      <c r="F13" s="134">
        <f>IF('Line 3'!K16="","",ROUND('Line 3'!K16,0))</f>
        <v>1530</v>
      </c>
      <c r="G13" s="134">
        <f>IF('Line 4'!K16="","",ROUND('Line 4'!K16,0))</f>
        <v>2970</v>
      </c>
      <c r="H13" s="134">
        <f>IF('Line 5'!K16="","",ROUND('Line 5'!K16,0))</f>
        <v>1530</v>
      </c>
      <c r="I13" s="134">
        <f>IF('Line 6'!K16="","",ROUND('Line 6'!K16,0))</f>
        <v>2970</v>
      </c>
      <c r="J13" s="134">
        <f>IF('Line 7'!K16="","",ROUND('Line 7'!K16,0))</f>
        <v>80</v>
      </c>
      <c r="K13" s="135">
        <f>IF('Line 8'!K16="","",ROUND('Line 8'!K16,0))</f>
        <v>890</v>
      </c>
      <c r="L13" s="136"/>
      <c r="M13" s="136"/>
    </row>
    <row r="14" spans="1:16" x14ac:dyDescent="0.2">
      <c r="A14" s="126">
        <f t="shared" si="3"/>
        <v>10</v>
      </c>
      <c r="B14" s="127">
        <f t="shared" si="4"/>
        <v>10</v>
      </c>
      <c r="C14" s="127">
        <f t="shared" si="5"/>
        <v>10</v>
      </c>
      <c r="D14" s="134">
        <f>IF('Line 1'!K17="","",ROUND('Line 1'!K17,0))</f>
        <v>1000</v>
      </c>
      <c r="E14" s="134">
        <f>IF('Line 2'!K17="","",ROUND('Line 2'!K17,0))</f>
        <v>1000</v>
      </c>
      <c r="F14" s="134">
        <f>IF('Line 3'!K17="","",ROUND('Line 3'!K17,0))</f>
        <v>1360</v>
      </c>
      <c r="G14" s="134">
        <f>IF('Line 4'!K17="","",ROUND('Line 4'!K17,0))</f>
        <v>2980</v>
      </c>
      <c r="H14" s="134">
        <f>IF('Line 5'!K17="","",ROUND('Line 5'!K17,0))</f>
        <v>1360</v>
      </c>
      <c r="I14" s="134">
        <f>IF('Line 6'!K17="","",ROUND('Line 6'!K17,0))</f>
        <v>2980</v>
      </c>
      <c r="J14" s="134">
        <f>IF('Line 7'!K17="","",ROUND('Line 7'!K17,0))</f>
        <v>90</v>
      </c>
      <c r="K14" s="135">
        <f>IF('Line 8'!K17="","",ROUND('Line 8'!K17,0))</f>
        <v>720</v>
      </c>
      <c r="L14" s="136"/>
      <c r="M14" s="136"/>
    </row>
    <row r="15" spans="1:16" x14ac:dyDescent="0.2">
      <c r="A15" s="126">
        <f t="shared" si="3"/>
        <v>11</v>
      </c>
      <c r="B15" s="127">
        <f t="shared" si="4"/>
        <v>11</v>
      </c>
      <c r="C15" s="127">
        <f t="shared" si="5"/>
        <v>11</v>
      </c>
      <c r="D15" s="134">
        <f>IF('Line 1'!K18="","",ROUND('Line 1'!K18,0))</f>
        <v>810</v>
      </c>
      <c r="E15" s="134">
        <f>IF('Line 2'!K18="","",ROUND('Line 2'!K18,0))</f>
        <v>810</v>
      </c>
      <c r="F15" s="134">
        <f>IF('Line 3'!K18="","",ROUND('Line 3'!K18,0))</f>
        <v>1210</v>
      </c>
      <c r="G15" s="134">
        <f>IF('Line 4'!K18="","",ROUND('Line 4'!K18,0))</f>
        <v>3010</v>
      </c>
      <c r="H15" s="134">
        <f>IF('Line 5'!K18="","",ROUND('Line 5'!K18,0))</f>
        <v>1210</v>
      </c>
      <c r="I15" s="134">
        <f>IF('Line 6'!K18="","",ROUND('Line 6'!K18,0))</f>
        <v>3010</v>
      </c>
      <c r="J15" s="134">
        <f>IF('Line 7'!K18="","",ROUND('Line 7'!K18,0))</f>
        <v>120</v>
      </c>
      <c r="K15" s="135">
        <f>IF('Line 8'!K18="","",ROUND('Line 8'!K18,0))</f>
        <v>570</v>
      </c>
      <c r="L15" s="136"/>
      <c r="M15" s="136"/>
    </row>
    <row r="16" spans="1:16" x14ac:dyDescent="0.2">
      <c r="A16" s="126">
        <f t="shared" si="3"/>
        <v>12</v>
      </c>
      <c r="B16" s="127">
        <f t="shared" si="4"/>
        <v>12</v>
      </c>
      <c r="C16" s="127">
        <f t="shared" si="5"/>
        <v>12</v>
      </c>
      <c r="D16" s="134">
        <f>IF('Line 1'!K19="","",ROUND('Line 1'!K19,0))</f>
        <v>640</v>
      </c>
      <c r="E16" s="134">
        <f>IF('Line 2'!K19="","",ROUND('Line 2'!K19,0))</f>
        <v>640</v>
      </c>
      <c r="F16" s="134">
        <f>IF('Line 3'!K19="","",ROUND('Line 3'!K19,0))</f>
        <v>1080</v>
      </c>
      <c r="G16" s="134">
        <f>IF('Line 4'!K19="","",ROUND('Line 4'!K19,0))</f>
        <v>3060</v>
      </c>
      <c r="H16" s="134">
        <f>IF('Line 5'!K19="","",ROUND('Line 5'!K19,0))</f>
        <v>1080</v>
      </c>
      <c r="I16" s="134">
        <f>IF('Line 6'!K19="","",ROUND('Line 6'!K19,0))</f>
        <v>3060</v>
      </c>
      <c r="J16" s="134">
        <f>IF('Line 7'!K19="","",ROUND('Line 7'!K19,0))</f>
        <v>170</v>
      </c>
      <c r="K16" s="135">
        <f>IF('Line 8'!K19="","",ROUND('Line 8'!K19,0))</f>
        <v>440</v>
      </c>
      <c r="L16" s="136"/>
      <c r="M16" s="136"/>
    </row>
    <row r="17" spans="1:13" x14ac:dyDescent="0.2">
      <c r="A17" s="126">
        <f t="shared" si="3"/>
        <v>13</v>
      </c>
      <c r="B17" s="127">
        <f t="shared" si="4"/>
        <v>13</v>
      </c>
      <c r="C17" s="127">
        <f t="shared" si="5"/>
        <v>13</v>
      </c>
      <c r="D17" s="134">
        <f>IF('Line 1'!K20="","",ROUND('Line 1'!K20,0))</f>
        <v>490</v>
      </c>
      <c r="E17" s="134">
        <f>IF('Line 2'!K20="","",ROUND('Line 2'!K20,0))</f>
        <v>490</v>
      </c>
      <c r="F17" s="134">
        <f>IF('Line 3'!K20="","",ROUND('Line 3'!K20,0))</f>
        <v>970</v>
      </c>
      <c r="G17" s="134">
        <f>IF('Line 4'!K20="","",ROUND('Line 4'!K20,0))</f>
        <v>3130</v>
      </c>
      <c r="H17" s="134">
        <f>IF('Line 5'!K20="","",ROUND('Line 5'!K20,0))</f>
        <v>970</v>
      </c>
      <c r="I17" s="134">
        <f>IF('Line 6'!K20="","",ROUND('Line 6'!K20,0))</f>
        <v>3130</v>
      </c>
      <c r="J17" s="134">
        <f>IF('Line 7'!K20="","",ROUND('Line 7'!K20,0))</f>
        <v>240</v>
      </c>
      <c r="K17" s="135">
        <f>IF('Line 8'!K20="","",ROUND('Line 8'!K20,0))</f>
        <v>330</v>
      </c>
      <c r="L17" s="136"/>
      <c r="M17" s="136"/>
    </row>
    <row r="18" spans="1:13" x14ac:dyDescent="0.2">
      <c r="A18" s="126">
        <f t="shared" si="3"/>
        <v>14</v>
      </c>
      <c r="B18" s="127">
        <f t="shared" si="4"/>
        <v>14</v>
      </c>
      <c r="C18" s="127">
        <f t="shared" si="5"/>
        <v>14</v>
      </c>
      <c r="D18" s="134">
        <f>IF('Line 1'!K21="","",ROUND('Line 1'!K21,0))</f>
        <v>360</v>
      </c>
      <c r="E18" s="134">
        <f>IF('Line 2'!K21="","",ROUND('Line 2'!K21,0))</f>
        <v>360</v>
      </c>
      <c r="F18" s="134">
        <f>IF('Line 3'!K21="","",ROUND('Line 3'!K21,0))</f>
        <v>880</v>
      </c>
      <c r="G18" s="134">
        <f>IF('Line 4'!K21="","",ROUND('Line 4'!K21,0))</f>
        <v>3220</v>
      </c>
      <c r="H18" s="134">
        <f>IF('Line 5'!K21="","",ROUND('Line 5'!K21,0))</f>
        <v>880</v>
      </c>
      <c r="I18" s="134">
        <f>IF('Line 6'!K21="","",ROUND('Line 6'!K21,0))</f>
        <v>3220</v>
      </c>
      <c r="J18" s="134">
        <f>IF('Line 7'!K21="","",ROUND('Line 7'!K21,0))</f>
        <v>330</v>
      </c>
      <c r="K18" s="135">
        <f>IF('Line 8'!K21="","",ROUND('Line 8'!K21,0))</f>
        <v>240</v>
      </c>
      <c r="L18" s="136"/>
      <c r="M18" s="136"/>
    </row>
    <row r="19" spans="1:13" x14ac:dyDescent="0.2">
      <c r="A19" s="126">
        <f t="shared" si="3"/>
        <v>15</v>
      </c>
      <c r="B19" s="127">
        <f t="shared" si="4"/>
        <v>15</v>
      </c>
      <c r="C19" s="127">
        <f t="shared" si="5"/>
        <v>15</v>
      </c>
      <c r="D19" s="134">
        <f>IF('Line 1'!K22="","",ROUND('Line 1'!K22,0))</f>
        <v>250</v>
      </c>
      <c r="E19" s="134">
        <f>IF('Line 2'!K22="","",ROUND('Line 2'!K22,0))</f>
        <v>250</v>
      </c>
      <c r="F19" s="134">
        <f>IF('Line 3'!K22="","",ROUND('Line 3'!K22,0))</f>
        <v>810</v>
      </c>
      <c r="G19" s="134">
        <f>IF('Line 4'!K22="","",ROUND('Line 4'!K22,0))</f>
        <v>3330</v>
      </c>
      <c r="H19" s="134">
        <f>IF('Line 5'!K22="","",ROUND('Line 5'!K22,0))</f>
        <v>810</v>
      </c>
      <c r="I19" s="134">
        <f>IF('Line 6'!K22="","",ROUND('Line 6'!K22,0))</f>
        <v>3330</v>
      </c>
      <c r="J19" s="134">
        <f>IF('Line 7'!K22="","",ROUND('Line 7'!K22,0))</f>
        <v>440</v>
      </c>
      <c r="K19" s="135">
        <f>IF('Line 8'!K22="","",ROUND('Line 8'!K22,0))</f>
        <v>170</v>
      </c>
      <c r="L19" s="136"/>
      <c r="M19" s="136"/>
    </row>
    <row r="20" spans="1:13" x14ac:dyDescent="0.2">
      <c r="A20" s="126">
        <f t="shared" si="3"/>
        <v>16</v>
      </c>
      <c r="B20" s="127">
        <f t="shared" si="4"/>
        <v>16</v>
      </c>
      <c r="C20" s="127">
        <f t="shared" si="5"/>
        <v>16</v>
      </c>
      <c r="D20" s="134">
        <f>IF('Line 1'!K23="","",ROUND('Line 1'!K23,0))</f>
        <v>160</v>
      </c>
      <c r="E20" s="134">
        <f>IF('Line 2'!K23="","",ROUND('Line 2'!K23,0))</f>
        <v>160</v>
      </c>
      <c r="F20" s="134">
        <f>IF('Line 3'!K23="","",ROUND('Line 3'!K23,0))</f>
        <v>760</v>
      </c>
      <c r="G20" s="134">
        <f>IF('Line 4'!K23="","",ROUND('Line 4'!K23,0))</f>
        <v>3460</v>
      </c>
      <c r="H20" s="134">
        <f>IF('Line 5'!K23="","",ROUND('Line 5'!K23,0))</f>
        <v>760</v>
      </c>
      <c r="I20" s="134">
        <f>IF('Line 6'!K23="","",ROUND('Line 6'!K23,0))</f>
        <v>3460</v>
      </c>
      <c r="J20" s="134">
        <f>IF('Line 7'!K23="","",ROUND('Line 7'!K23,0))</f>
        <v>570</v>
      </c>
      <c r="K20" s="135">
        <f>IF('Line 8'!K23="","",ROUND('Line 8'!K23,0))</f>
        <v>120</v>
      </c>
      <c r="L20" s="136"/>
      <c r="M20" s="136"/>
    </row>
    <row r="21" spans="1:13" x14ac:dyDescent="0.2">
      <c r="A21" s="126">
        <f t="shared" si="3"/>
        <v>17</v>
      </c>
      <c r="B21" s="127">
        <f t="shared" si="4"/>
        <v>17</v>
      </c>
      <c r="C21" s="127">
        <f t="shared" si="5"/>
        <v>17</v>
      </c>
      <c r="D21" s="134">
        <f>IF('Line 1'!K24="","",ROUND('Line 1'!K24,0))</f>
        <v>90</v>
      </c>
      <c r="E21" s="134">
        <f>IF('Line 2'!K24="","",ROUND('Line 2'!K24,0))</f>
        <v>90</v>
      </c>
      <c r="F21" s="134">
        <f>IF('Line 3'!K24="","",ROUND('Line 3'!K24,0))</f>
        <v>730</v>
      </c>
      <c r="G21" s="134">
        <f>IF('Line 4'!K24="","",ROUND('Line 4'!K24,0))</f>
        <v>3610</v>
      </c>
      <c r="H21" s="134">
        <f>IF('Line 5'!K24="","",ROUND('Line 5'!K24,0))</f>
        <v>730</v>
      </c>
      <c r="I21" s="134">
        <f>IF('Line 6'!K24="","",ROUND('Line 6'!K24,0))</f>
        <v>3610</v>
      </c>
      <c r="J21" s="134">
        <f>IF('Line 7'!K24="","",ROUND('Line 7'!K24,0))</f>
        <v>720</v>
      </c>
      <c r="K21" s="135">
        <f>IF('Line 8'!K24="","",ROUND('Line 8'!K24,0))</f>
        <v>90</v>
      </c>
      <c r="L21" s="136"/>
      <c r="M21" s="136"/>
    </row>
    <row r="22" spans="1:13" x14ac:dyDescent="0.2">
      <c r="A22" s="126">
        <f t="shared" si="3"/>
        <v>18</v>
      </c>
      <c r="B22" s="127">
        <f t="shared" si="4"/>
        <v>18</v>
      </c>
      <c r="C22" s="127" t="str">
        <f t="shared" si="5"/>
        <v/>
      </c>
      <c r="D22" s="134">
        <f>IF('Line 1'!K25="","",ROUND('Line 1'!K25,0))</f>
        <v>40</v>
      </c>
      <c r="E22" s="134">
        <f>IF('Line 2'!K25="","",ROUND('Line 2'!K25,0))</f>
        <v>40</v>
      </c>
      <c r="F22" s="134">
        <f>IF('Line 3'!K25="","",ROUND('Line 3'!K25,0))</f>
        <v>720</v>
      </c>
      <c r="G22" s="134" t="str">
        <f>IF('Line 4'!K25="","",ROUND('Line 4'!K25,0))</f>
        <v/>
      </c>
      <c r="H22" s="134">
        <f>IF('Line 5'!K25="","",ROUND('Line 5'!K25,0))</f>
        <v>720</v>
      </c>
      <c r="I22" s="134" t="str">
        <f>IF('Line 6'!K25="","",ROUND('Line 6'!K25,0))</f>
        <v/>
      </c>
      <c r="J22" s="134" t="str">
        <f>IF('Line 7'!K25="","",ROUND('Line 7'!K25,0))</f>
        <v/>
      </c>
      <c r="K22" s="135">
        <f>IF('Line 8'!K25="","",ROUND('Line 8'!K25,0))</f>
        <v>80</v>
      </c>
    </row>
    <row r="23" spans="1:13" x14ac:dyDescent="0.2">
      <c r="A23" s="126">
        <f t="shared" si="3"/>
        <v>19</v>
      </c>
      <c r="B23" s="127">
        <f t="shared" si="4"/>
        <v>19</v>
      </c>
      <c r="C23" s="127" t="str">
        <f t="shared" si="5"/>
        <v/>
      </c>
      <c r="D23" s="134">
        <f>IF('Line 1'!K26="","",ROUND('Line 1'!K26,0))</f>
        <v>10</v>
      </c>
      <c r="E23" s="134">
        <f>IF('Line 2'!K26="","",ROUND('Line 2'!K26,0))</f>
        <v>10</v>
      </c>
      <c r="F23" s="134">
        <f>IF('Line 3'!K26="","",ROUND('Line 3'!K26,0))</f>
        <v>730</v>
      </c>
      <c r="G23" s="134" t="str">
        <f>IF('Line 4'!K26="","",ROUND('Line 4'!K26,0))</f>
        <v/>
      </c>
      <c r="H23" s="134">
        <f>IF('Line 5'!K26="","",ROUND('Line 5'!K26,0))</f>
        <v>730</v>
      </c>
      <c r="I23" s="134" t="str">
        <f>IF('Line 6'!K26="","",ROUND('Line 6'!K26,0))</f>
        <v/>
      </c>
      <c r="J23" s="134" t="str">
        <f>IF('Line 7'!K26="","",ROUND('Line 7'!K26,0))</f>
        <v/>
      </c>
      <c r="K23" s="135">
        <f>IF('Line 8'!K26="","",ROUND('Line 8'!K26,0))</f>
        <v>90</v>
      </c>
    </row>
    <row r="24" spans="1:13" x14ac:dyDescent="0.2">
      <c r="A24" s="126">
        <f t="shared" si="3"/>
        <v>20</v>
      </c>
      <c r="B24" s="127">
        <f t="shared" si="4"/>
        <v>20</v>
      </c>
      <c r="C24" s="127" t="str">
        <f t="shared" si="5"/>
        <v/>
      </c>
      <c r="D24" s="134">
        <f>IF('Line 1'!K27="","",ROUND('Line 1'!K27,0))</f>
        <v>0</v>
      </c>
      <c r="E24" s="134">
        <f>IF('Line 2'!K27="","",ROUND('Line 2'!K27,0))</f>
        <v>0</v>
      </c>
      <c r="F24" s="134">
        <f>IF('Line 3'!K27="","",ROUND('Line 3'!K27,0))</f>
        <v>760</v>
      </c>
      <c r="G24" s="134" t="str">
        <f>IF('Line 4'!K27="","",ROUND('Line 4'!K27,0))</f>
        <v/>
      </c>
      <c r="H24" s="134">
        <f>IF('Line 5'!K27="","",ROUND('Line 5'!K27,0))</f>
        <v>760</v>
      </c>
      <c r="I24" s="134" t="str">
        <f>IF('Line 6'!K27="","",ROUND('Line 6'!K27,0))</f>
        <v/>
      </c>
      <c r="J24" s="134" t="str">
        <f>IF('Line 7'!K27="","",ROUND('Line 7'!K27,0))</f>
        <v/>
      </c>
      <c r="K24" s="135">
        <f>IF('Line 8'!K27="","",ROUND('Line 8'!K27,0))</f>
        <v>120</v>
      </c>
    </row>
    <row r="25" spans="1:13" x14ac:dyDescent="0.2">
      <c r="A25" s="126">
        <f t="shared" si="3"/>
        <v>21</v>
      </c>
      <c r="B25" s="127">
        <f t="shared" si="4"/>
        <v>21</v>
      </c>
      <c r="C25" s="127" t="str">
        <f t="shared" si="5"/>
        <v/>
      </c>
      <c r="D25" s="134">
        <f>IF('Line 1'!K28="","",ROUND('Line 1'!K28,0))</f>
        <v>10</v>
      </c>
      <c r="E25" s="134">
        <f>IF('Line 2'!K28="","",ROUND('Line 2'!K28,0))</f>
        <v>10</v>
      </c>
      <c r="F25" s="134">
        <f>IF('Line 3'!K28="","",ROUND('Line 3'!K28,0))</f>
        <v>810</v>
      </c>
      <c r="G25" s="134" t="str">
        <f>IF('Line 4'!K28="","",ROUND('Line 4'!K28,0))</f>
        <v/>
      </c>
      <c r="H25" s="134">
        <f>IF('Line 5'!K28="","",ROUND('Line 5'!K28,0))</f>
        <v>810</v>
      </c>
      <c r="I25" s="134" t="str">
        <f>IF('Line 6'!K28="","",ROUND('Line 6'!K28,0))</f>
        <v/>
      </c>
      <c r="J25" s="134" t="str">
        <f>IF('Line 7'!K28="","",ROUND('Line 7'!K28,0))</f>
        <v/>
      </c>
      <c r="K25" s="135">
        <f>IF('Line 8'!K28="","",ROUND('Line 8'!K28,0))</f>
        <v>170</v>
      </c>
    </row>
    <row r="26" spans="1:13" x14ac:dyDescent="0.2">
      <c r="A26" s="126">
        <f t="shared" si="3"/>
        <v>22</v>
      </c>
      <c r="B26" s="127">
        <f t="shared" si="4"/>
        <v>22</v>
      </c>
      <c r="C26" s="127" t="str">
        <f t="shared" si="5"/>
        <v/>
      </c>
      <c r="D26" s="134">
        <f>IF('Line 1'!K29="","",ROUND('Line 1'!K29,0))</f>
        <v>40</v>
      </c>
      <c r="E26" s="134">
        <f>IF('Line 2'!K29="","",ROUND('Line 2'!K29,0))</f>
        <v>40</v>
      </c>
      <c r="F26" s="134">
        <f>IF('Line 3'!K29="","",ROUND('Line 3'!K29,0))</f>
        <v>880</v>
      </c>
      <c r="G26" s="134" t="str">
        <f>IF('Line 4'!K29="","",ROUND('Line 4'!K29,0))</f>
        <v/>
      </c>
      <c r="H26" s="134">
        <f>IF('Line 5'!K29="","",ROUND('Line 5'!K29,0))</f>
        <v>880</v>
      </c>
      <c r="I26" s="134" t="str">
        <f>IF('Line 6'!K29="","",ROUND('Line 6'!K29,0))</f>
        <v/>
      </c>
      <c r="J26" s="134" t="str">
        <f>IF('Line 7'!K29="","",ROUND('Line 7'!K29,0))</f>
        <v/>
      </c>
      <c r="K26" s="135">
        <f>IF('Line 8'!K29="","",ROUND('Line 8'!K29,0))</f>
        <v>240</v>
      </c>
    </row>
    <row r="27" spans="1:13" x14ac:dyDescent="0.2">
      <c r="A27" s="126">
        <f t="shared" si="3"/>
        <v>23</v>
      </c>
      <c r="B27" s="127">
        <f t="shared" si="4"/>
        <v>23</v>
      </c>
      <c r="C27" s="127" t="str">
        <f t="shared" si="5"/>
        <v/>
      </c>
      <c r="D27" s="134">
        <f>IF('Line 1'!K30="","",ROUND('Line 1'!K30,0))</f>
        <v>90</v>
      </c>
      <c r="E27" s="134">
        <f>IF('Line 2'!K30="","",ROUND('Line 2'!K30,0))</f>
        <v>90</v>
      </c>
      <c r="F27" s="134">
        <f>IF('Line 3'!K30="","",ROUND('Line 3'!K30,0))</f>
        <v>970</v>
      </c>
      <c r="G27" s="134" t="str">
        <f>IF('Line 4'!K30="","",ROUND('Line 4'!K30,0))</f>
        <v/>
      </c>
      <c r="H27" s="134">
        <f>IF('Line 5'!K30="","",ROUND('Line 5'!K30,0))</f>
        <v>970</v>
      </c>
      <c r="I27" s="134" t="str">
        <f>IF('Line 6'!K30="","",ROUND('Line 6'!K30,0))</f>
        <v/>
      </c>
      <c r="J27" s="134" t="str">
        <f>IF('Line 7'!K30="","",ROUND('Line 7'!K30,0))</f>
        <v/>
      </c>
      <c r="K27" s="135">
        <f>IF('Line 8'!K30="","",ROUND('Line 8'!K30,0))</f>
        <v>330</v>
      </c>
    </row>
    <row r="28" spans="1:13" x14ac:dyDescent="0.2">
      <c r="A28" s="126">
        <f t="shared" si="3"/>
        <v>24</v>
      </c>
      <c r="B28" s="127">
        <f t="shared" si="4"/>
        <v>24</v>
      </c>
      <c r="C28" s="127" t="str">
        <f t="shared" si="5"/>
        <v/>
      </c>
      <c r="D28" s="134">
        <f>IF('Line 1'!K31="","",ROUND('Line 1'!K31,0))</f>
        <v>160</v>
      </c>
      <c r="E28" s="134">
        <f>IF('Line 2'!K31="","",ROUND('Line 2'!K31,0))</f>
        <v>160</v>
      </c>
      <c r="F28" s="134">
        <f>IF('Line 3'!K31="","",ROUND('Line 3'!K31,0))</f>
        <v>1080</v>
      </c>
      <c r="G28" s="134" t="str">
        <f>IF('Line 4'!K31="","",ROUND('Line 4'!K31,0))</f>
        <v/>
      </c>
      <c r="H28" s="134">
        <f>IF('Line 5'!K31="","",ROUND('Line 5'!K31,0))</f>
        <v>1080</v>
      </c>
      <c r="I28" s="134" t="str">
        <f>IF('Line 6'!K31="","",ROUND('Line 6'!K31,0))</f>
        <v/>
      </c>
      <c r="J28" s="134" t="str">
        <f>IF('Line 7'!K31="","",ROUND('Line 7'!K31,0))</f>
        <v/>
      </c>
      <c r="K28" s="135">
        <f>IF('Line 8'!K31="","",ROUND('Line 8'!K31,0))</f>
        <v>440</v>
      </c>
    </row>
    <row r="29" spans="1:13" x14ac:dyDescent="0.2">
      <c r="A29" s="126">
        <f t="shared" si="3"/>
        <v>25</v>
      </c>
      <c r="B29" s="127">
        <f t="shared" si="4"/>
        <v>25</v>
      </c>
      <c r="C29" s="127" t="str">
        <f t="shared" si="5"/>
        <v/>
      </c>
      <c r="D29" s="134">
        <f>IF('Line 1'!K32="","",ROUND('Line 1'!K32,0))</f>
        <v>250</v>
      </c>
      <c r="E29" s="134">
        <f>IF('Line 2'!K32="","",ROUND('Line 2'!K32,0))</f>
        <v>250</v>
      </c>
      <c r="F29" s="134">
        <f>IF('Line 3'!K32="","",ROUND('Line 3'!K32,0))</f>
        <v>1210</v>
      </c>
      <c r="G29" s="134" t="str">
        <f>IF('Line 4'!K32="","",ROUND('Line 4'!K32,0))</f>
        <v/>
      </c>
      <c r="H29" s="134">
        <f>IF('Line 5'!K32="","",ROUND('Line 5'!K32,0))</f>
        <v>1210</v>
      </c>
      <c r="I29" s="134" t="str">
        <f>IF('Line 6'!K32="","",ROUND('Line 6'!K32,0))</f>
        <v/>
      </c>
      <c r="J29" s="134" t="str">
        <f>IF('Line 7'!K32="","",ROUND('Line 7'!K32,0))</f>
        <v/>
      </c>
      <c r="K29" s="135">
        <f>IF('Line 8'!K32="","",ROUND('Line 8'!K32,0))</f>
        <v>570</v>
      </c>
    </row>
    <row r="30" spans="1:13" x14ac:dyDescent="0.2">
      <c r="A30" s="126">
        <f t="shared" si="3"/>
        <v>26</v>
      </c>
      <c r="B30" s="127">
        <f t="shared" si="4"/>
        <v>26</v>
      </c>
      <c r="C30" s="127" t="str">
        <f t="shared" si="5"/>
        <v/>
      </c>
      <c r="D30" s="134">
        <f>IF('Line 1'!K33="","",ROUND('Line 1'!K33,0))</f>
        <v>360</v>
      </c>
      <c r="E30" s="134">
        <f>IF('Line 2'!K33="","",ROUND('Line 2'!K33,0))</f>
        <v>360</v>
      </c>
      <c r="F30" s="134">
        <f>IF('Line 3'!K33="","",ROUND('Line 3'!K33,0))</f>
        <v>1360</v>
      </c>
      <c r="G30" s="134" t="str">
        <f>IF('Line 4'!K33="","",ROUND('Line 4'!K33,0))</f>
        <v/>
      </c>
      <c r="H30" s="134">
        <f>IF('Line 5'!K33="","",ROUND('Line 5'!K33,0))</f>
        <v>1360</v>
      </c>
      <c r="I30" s="134" t="str">
        <f>IF('Line 6'!K33="","",ROUND('Line 6'!K33,0))</f>
        <v/>
      </c>
      <c r="J30" s="134" t="str">
        <f>IF('Line 7'!K33="","",ROUND('Line 7'!K33,0))</f>
        <v/>
      </c>
      <c r="K30" s="135">
        <f>IF('Line 8'!K33="","",ROUND('Line 8'!K33,0))</f>
        <v>720</v>
      </c>
    </row>
    <row r="31" spans="1:13" x14ac:dyDescent="0.2">
      <c r="A31" s="126">
        <f t="shared" si="3"/>
        <v>27</v>
      </c>
      <c r="B31" s="127">
        <f t="shared" si="4"/>
        <v>27</v>
      </c>
      <c r="C31" s="127" t="str">
        <f t="shared" si="5"/>
        <v/>
      </c>
      <c r="D31" s="134">
        <f>IF('Line 1'!K34="","",ROUND('Line 1'!K34,0))</f>
        <v>490</v>
      </c>
      <c r="E31" s="134">
        <f>IF('Line 2'!K34="","",ROUND('Line 2'!K34,0))</f>
        <v>490</v>
      </c>
      <c r="F31" s="134">
        <f>IF('Line 3'!K34="","",ROUND('Line 3'!K34,0))</f>
        <v>1530</v>
      </c>
      <c r="G31" s="134" t="str">
        <f>IF('Line 4'!K34="","",ROUND('Line 4'!K34,0))</f>
        <v/>
      </c>
      <c r="H31" s="134">
        <f>IF('Line 5'!K34="","",ROUND('Line 5'!K34,0))</f>
        <v>1530</v>
      </c>
      <c r="I31" s="134" t="str">
        <f>IF('Line 6'!K34="","",ROUND('Line 6'!K34,0))</f>
        <v/>
      </c>
      <c r="J31" s="134" t="str">
        <f>IF('Line 7'!K34="","",ROUND('Line 7'!K34,0))</f>
        <v/>
      </c>
      <c r="K31" s="135">
        <f>IF('Line 8'!K34="","",ROUND('Line 8'!K34,0))</f>
        <v>890</v>
      </c>
    </row>
    <row r="32" spans="1:13" x14ac:dyDescent="0.2">
      <c r="A32" s="126">
        <f t="shared" si="3"/>
        <v>28</v>
      </c>
      <c r="B32" s="127">
        <f t="shared" si="4"/>
        <v>28</v>
      </c>
      <c r="C32" s="127" t="str">
        <f t="shared" si="5"/>
        <v/>
      </c>
      <c r="D32" s="134">
        <f>IF('Line 1'!K35="","",ROUND('Line 1'!K35,0))</f>
        <v>640</v>
      </c>
      <c r="E32" s="134">
        <f>IF('Line 2'!K35="","",ROUND('Line 2'!K35,0))</f>
        <v>640</v>
      </c>
      <c r="F32" s="134">
        <f>IF('Line 3'!K35="","",ROUND('Line 3'!K35,0))</f>
        <v>1720</v>
      </c>
      <c r="G32" s="134" t="str">
        <f>IF('Line 4'!K35="","",ROUND('Line 4'!K35,0))</f>
        <v/>
      </c>
      <c r="H32" s="134">
        <f>IF('Line 5'!K35="","",ROUND('Line 5'!K35,0))</f>
        <v>1720</v>
      </c>
      <c r="I32" s="134" t="str">
        <f>IF('Line 6'!K35="","",ROUND('Line 6'!K35,0))</f>
        <v/>
      </c>
      <c r="J32" s="134" t="str">
        <f>IF('Line 7'!K35="","",ROUND('Line 7'!K35,0))</f>
        <v/>
      </c>
      <c r="K32" s="135">
        <f>IF('Line 8'!K35="","",ROUND('Line 8'!K35,0))</f>
        <v>1080</v>
      </c>
    </row>
    <row r="33" spans="1:11" x14ac:dyDescent="0.2">
      <c r="A33" s="126">
        <f t="shared" si="3"/>
        <v>29</v>
      </c>
      <c r="B33" s="127">
        <f t="shared" si="4"/>
        <v>29</v>
      </c>
      <c r="C33" s="127" t="str">
        <f t="shared" si="5"/>
        <v/>
      </c>
      <c r="D33" s="134">
        <f>IF('Line 1'!K36="","",ROUND('Line 1'!K36,0))</f>
        <v>810</v>
      </c>
      <c r="E33" s="134">
        <f>IF('Line 2'!K36="","",ROUND('Line 2'!K36,0))</f>
        <v>810</v>
      </c>
      <c r="F33" s="134">
        <f>IF('Line 3'!K36="","",ROUND('Line 3'!K36,0))</f>
        <v>1930</v>
      </c>
      <c r="G33" s="134" t="str">
        <f>IF('Line 4'!K36="","",ROUND('Line 4'!K36,0))</f>
        <v/>
      </c>
      <c r="H33" s="134">
        <f>IF('Line 5'!K36="","",ROUND('Line 5'!K36,0))</f>
        <v>1930</v>
      </c>
      <c r="I33" s="134" t="str">
        <f>IF('Line 6'!K36="","",ROUND('Line 6'!K36,0))</f>
        <v/>
      </c>
      <c r="J33" s="134" t="str">
        <f>IF('Line 7'!K36="","",ROUND('Line 7'!K36,0))</f>
        <v/>
      </c>
      <c r="K33" s="135">
        <f>IF('Line 8'!K36="","",ROUND('Line 8'!K36,0))</f>
        <v>1290</v>
      </c>
    </row>
    <row r="34" spans="1:11" x14ac:dyDescent="0.2">
      <c r="A34" s="126">
        <f t="shared" si="3"/>
        <v>30</v>
      </c>
      <c r="B34" s="127">
        <f t="shared" si="4"/>
        <v>30</v>
      </c>
      <c r="C34" s="127" t="str">
        <f t="shared" si="5"/>
        <v/>
      </c>
      <c r="D34" s="134">
        <f>IF('Line 1'!K37="","",ROUND('Line 1'!K37,0))</f>
        <v>1000</v>
      </c>
      <c r="E34" s="134">
        <f>IF('Line 2'!K37="","",ROUND('Line 2'!K37,0))</f>
        <v>1000</v>
      </c>
      <c r="F34" s="134">
        <f>IF('Line 3'!K37="","",ROUND('Line 3'!K37,0))</f>
        <v>2160</v>
      </c>
      <c r="G34" s="134" t="str">
        <f>IF('Line 4'!K37="","",ROUND('Line 4'!K37,0))</f>
        <v/>
      </c>
      <c r="H34" s="134">
        <f>IF('Line 5'!K37="","",ROUND('Line 5'!K37,0))</f>
        <v>2160</v>
      </c>
      <c r="I34" s="134" t="str">
        <f>IF('Line 6'!K37="","",ROUND('Line 6'!K37,0))</f>
        <v/>
      </c>
      <c r="J34" s="134" t="str">
        <f>IF('Line 7'!K37="","",ROUND('Line 7'!K37,0))</f>
        <v/>
      </c>
      <c r="K34" s="135">
        <f>IF('Line 8'!K37="","",ROUND('Line 8'!K37,0))</f>
        <v>1520</v>
      </c>
    </row>
    <row r="35" spans="1:11" x14ac:dyDescent="0.2">
      <c r="A35" s="126">
        <f t="shared" si="3"/>
        <v>31</v>
      </c>
      <c r="B35" s="127">
        <f t="shared" si="4"/>
        <v>31</v>
      </c>
      <c r="C35" s="127" t="str">
        <f t="shared" si="5"/>
        <v/>
      </c>
      <c r="D35" s="134">
        <f>IF('Line 1'!K38="","",ROUND('Line 1'!K38,0))</f>
        <v>1210</v>
      </c>
      <c r="E35" s="134">
        <f>IF('Line 2'!K38="","",ROUND('Line 2'!K38,0))</f>
        <v>1210</v>
      </c>
      <c r="F35" s="134">
        <f>IF('Line 3'!K38="","",ROUND('Line 3'!K38,0))</f>
        <v>2410</v>
      </c>
      <c r="G35" s="134" t="str">
        <f>IF('Line 4'!K38="","",ROUND('Line 4'!K38,0))</f>
        <v/>
      </c>
      <c r="H35" s="134">
        <f>IF('Line 5'!K38="","",ROUND('Line 5'!K38,0))</f>
        <v>2410</v>
      </c>
      <c r="I35" s="134" t="str">
        <f>IF('Line 6'!K38="","",ROUND('Line 6'!K38,0))</f>
        <v/>
      </c>
      <c r="J35" s="134" t="str">
        <f>IF('Line 7'!K38="","",ROUND('Line 7'!K38,0))</f>
        <v/>
      </c>
      <c r="K35" s="135">
        <f>IF('Line 8'!K38="","",ROUND('Line 8'!K38,0))</f>
        <v>1770</v>
      </c>
    </row>
    <row r="36" spans="1:11" x14ac:dyDescent="0.2">
      <c r="A36" s="126">
        <f t="shared" si="3"/>
        <v>32</v>
      </c>
      <c r="B36" s="127">
        <f t="shared" si="4"/>
        <v>32</v>
      </c>
      <c r="C36" s="127" t="str">
        <f t="shared" si="5"/>
        <v/>
      </c>
      <c r="D36" s="134">
        <f>IF('Line 1'!K39="","",ROUND('Line 1'!K39,0))</f>
        <v>1440</v>
      </c>
      <c r="E36" s="134">
        <f>IF('Line 2'!K39="","",ROUND('Line 2'!K39,0))</f>
        <v>1440</v>
      </c>
      <c r="F36" s="134">
        <f>IF('Line 3'!K39="","",ROUND('Line 3'!K39,0))</f>
        <v>2680</v>
      </c>
      <c r="G36" s="134" t="str">
        <f>IF('Line 4'!K39="","",ROUND('Line 4'!K39,0))</f>
        <v/>
      </c>
      <c r="H36" s="134">
        <f>IF('Line 5'!K39="","",ROUND('Line 5'!K39,0))</f>
        <v>2680</v>
      </c>
      <c r="I36" s="134" t="str">
        <f>IF('Line 6'!K39="","",ROUND('Line 6'!K39,0))</f>
        <v/>
      </c>
      <c r="J36" s="134" t="str">
        <f>IF('Line 7'!K39="","",ROUND('Line 7'!K39,0))</f>
        <v/>
      </c>
      <c r="K36" s="135">
        <f>IF('Line 8'!K39="","",ROUND('Line 8'!K39,0))</f>
        <v>2040</v>
      </c>
    </row>
    <row r="37" spans="1:11" x14ac:dyDescent="0.2">
      <c r="A37" s="126">
        <f t="shared" si="3"/>
        <v>33</v>
      </c>
      <c r="B37" s="127">
        <f t="shared" si="4"/>
        <v>33</v>
      </c>
      <c r="C37" s="127" t="str">
        <f t="shared" si="5"/>
        <v/>
      </c>
      <c r="D37" s="134">
        <f>IF('Line 1'!K40="","",ROUND('Line 1'!K40,0))</f>
        <v>1690</v>
      </c>
      <c r="E37" s="134">
        <f>IF('Line 2'!K40="","",ROUND('Line 2'!K40,0))</f>
        <v>1690</v>
      </c>
      <c r="F37" s="134">
        <f>IF('Line 3'!K40="","",ROUND('Line 3'!K40,0))</f>
        <v>2970</v>
      </c>
      <c r="G37" s="134" t="str">
        <f>IF('Line 4'!K40="","",ROUND('Line 4'!K40,0))</f>
        <v/>
      </c>
      <c r="H37" s="134">
        <f>IF('Line 5'!K40="","",ROUND('Line 5'!K40,0))</f>
        <v>2970</v>
      </c>
      <c r="I37" s="134" t="str">
        <f>IF('Line 6'!K40="","",ROUND('Line 6'!K40,0))</f>
        <v/>
      </c>
      <c r="J37" s="134" t="str">
        <f>IF('Line 7'!K40="","",ROUND('Line 7'!K40,0))</f>
        <v/>
      </c>
      <c r="K37" s="135">
        <f>IF('Line 8'!K40="","",ROUND('Line 8'!K40,0))</f>
        <v>2330</v>
      </c>
    </row>
    <row r="38" spans="1:11" x14ac:dyDescent="0.2">
      <c r="A38" s="126">
        <f t="shared" si="3"/>
        <v>34</v>
      </c>
      <c r="B38" s="127">
        <f t="shared" si="4"/>
        <v>34</v>
      </c>
      <c r="C38" s="127" t="str">
        <f t="shared" si="5"/>
        <v/>
      </c>
      <c r="D38" s="134">
        <f>IF('Line 1'!K41="","",ROUND('Line 1'!K41,0))</f>
        <v>1960</v>
      </c>
      <c r="E38" s="134">
        <f>IF('Line 2'!K41="","",ROUND('Line 2'!K41,0))</f>
        <v>1960</v>
      </c>
      <c r="F38" s="134">
        <f>IF('Line 3'!K41="","",ROUND('Line 3'!K41,0))</f>
        <v>3280</v>
      </c>
      <c r="G38" s="134" t="str">
        <f>IF('Line 4'!K41="","",ROUND('Line 4'!K41,0))</f>
        <v/>
      </c>
      <c r="H38" s="134">
        <f>IF('Line 5'!K41="","",ROUND('Line 5'!K41,0))</f>
        <v>3280</v>
      </c>
      <c r="I38" s="134" t="str">
        <f>IF('Line 6'!K41="","",ROUND('Line 6'!K41,0))</f>
        <v/>
      </c>
      <c r="J38" s="134" t="str">
        <f>IF('Line 7'!K41="","",ROUND('Line 7'!K41,0))</f>
        <v/>
      </c>
      <c r="K38" s="135">
        <f>IF('Line 8'!K41="","",ROUND('Line 8'!K41,0))</f>
        <v>2640</v>
      </c>
    </row>
    <row r="39" spans="1:11" x14ac:dyDescent="0.2">
      <c r="A39" s="126">
        <f t="shared" si="3"/>
        <v>35</v>
      </c>
      <c r="B39" s="127">
        <f t="shared" si="4"/>
        <v>35</v>
      </c>
      <c r="C39" s="127" t="str">
        <f t="shared" si="5"/>
        <v/>
      </c>
      <c r="D39" s="134">
        <f>IF('Line 1'!K42="","",ROUND('Line 1'!K42,0))</f>
        <v>2250</v>
      </c>
      <c r="E39" s="134">
        <f>IF('Line 2'!K42="","",ROUND('Line 2'!K42,0))</f>
        <v>2250</v>
      </c>
      <c r="F39" s="134">
        <f>IF('Line 3'!K42="","",ROUND('Line 3'!K42,0))</f>
        <v>3610</v>
      </c>
      <c r="G39" s="134" t="str">
        <f>IF('Line 4'!K42="","",ROUND('Line 4'!K42,0))</f>
        <v/>
      </c>
      <c r="H39" s="134">
        <f>IF('Line 5'!K42="","",ROUND('Line 5'!K42,0))</f>
        <v>3610</v>
      </c>
      <c r="I39" s="134" t="str">
        <f>IF('Line 6'!K42="","",ROUND('Line 6'!K42,0))</f>
        <v/>
      </c>
      <c r="J39" s="134" t="str">
        <f>IF('Line 7'!K42="","",ROUND('Line 7'!K42,0))</f>
        <v/>
      </c>
      <c r="K39" s="135">
        <f>IF('Line 8'!K42="","",ROUND('Line 8'!K42,0))</f>
        <v>2970</v>
      </c>
    </row>
    <row r="40" spans="1:11" x14ac:dyDescent="0.2">
      <c r="A40" s="126">
        <f t="shared" si="3"/>
        <v>36</v>
      </c>
      <c r="B40" s="127" t="str">
        <f t="shared" si="4"/>
        <v/>
      </c>
      <c r="C40" s="127" t="str">
        <f t="shared" si="5"/>
        <v/>
      </c>
      <c r="D40" s="134">
        <f>IF('Line 1'!K43="","",ROUND('Line 1'!K43,0))</f>
        <v>2560</v>
      </c>
      <c r="E40" s="134">
        <f>IF('Line 2'!K43="","",ROUND('Line 2'!K43,0))</f>
        <v>2560</v>
      </c>
      <c r="F40" s="134" t="str">
        <f>IF('Line 3'!K43="","",ROUND('Line 3'!K43,0))</f>
        <v/>
      </c>
      <c r="G40" s="134" t="str">
        <f>IF('Line 4'!K43="","",ROUND('Line 4'!K43,0))</f>
        <v/>
      </c>
      <c r="H40" s="134" t="str">
        <f>IF('Line 5'!K43="","",ROUND('Line 5'!K43,0))</f>
        <v/>
      </c>
      <c r="I40" s="134" t="str">
        <f>IF('Line 6'!K43="","",ROUND('Line 6'!K43,0))</f>
        <v/>
      </c>
      <c r="J40" s="134" t="str">
        <f>IF('Line 7'!K43="","",ROUND('Line 7'!K43,0))</f>
        <v/>
      </c>
      <c r="K40" s="135" t="str">
        <f>IF('Line 8'!K43="","",ROUND('Line 8'!K43,0))</f>
        <v/>
      </c>
    </row>
    <row r="41" spans="1:11" x14ac:dyDescent="0.2">
      <c r="A41" s="126">
        <f t="shared" si="3"/>
        <v>37</v>
      </c>
      <c r="B41" s="127" t="str">
        <f t="shared" si="4"/>
        <v/>
      </c>
      <c r="C41" s="127" t="str">
        <f t="shared" si="5"/>
        <v/>
      </c>
      <c r="D41" s="134">
        <f>IF('Line 1'!K44="","",ROUND('Line 1'!K44,0))</f>
        <v>2890</v>
      </c>
      <c r="E41" s="134">
        <f>IF('Line 2'!K44="","",ROUND('Line 2'!K44,0))</f>
        <v>2890</v>
      </c>
      <c r="F41" s="134" t="str">
        <f>IF('Line 3'!K44="","",ROUND('Line 3'!K44,0))</f>
        <v/>
      </c>
      <c r="G41" s="134" t="str">
        <f>IF('Line 4'!K44="","",ROUND('Line 4'!K44,0))</f>
        <v/>
      </c>
      <c r="H41" s="134" t="str">
        <f>IF('Line 5'!K44="","",ROUND('Line 5'!K44,0))</f>
        <v/>
      </c>
      <c r="I41" s="134" t="str">
        <f>IF('Line 6'!K44="","",ROUND('Line 6'!K44,0))</f>
        <v/>
      </c>
      <c r="J41" s="134" t="str">
        <f>IF('Line 7'!K44="","",ROUND('Line 7'!K44,0))</f>
        <v/>
      </c>
      <c r="K41" s="135" t="str">
        <f>IF('Line 8'!K44="","",ROUND('Line 8'!K44,0))</f>
        <v/>
      </c>
    </row>
    <row r="42" spans="1:11" x14ac:dyDescent="0.2">
      <c r="A42" s="126">
        <f t="shared" si="3"/>
        <v>38</v>
      </c>
      <c r="B42" s="127" t="str">
        <f t="shared" si="4"/>
        <v/>
      </c>
      <c r="C42" s="127" t="str">
        <f t="shared" si="5"/>
        <v/>
      </c>
      <c r="D42" s="134">
        <f>IF('Line 1'!K45="","",ROUND('Line 1'!K45,0))</f>
        <v>3240</v>
      </c>
      <c r="E42" s="134">
        <f>IF('Line 2'!K45="","",ROUND('Line 2'!K45,0))</f>
        <v>3240</v>
      </c>
      <c r="F42" s="134" t="str">
        <f>IF('Line 3'!K45="","",ROUND('Line 3'!K45,0))</f>
        <v/>
      </c>
      <c r="G42" s="134" t="str">
        <f>IF('Line 4'!K45="","",ROUND('Line 4'!K45,0))</f>
        <v/>
      </c>
      <c r="H42" s="134" t="str">
        <f>IF('Line 5'!K45="","",ROUND('Line 5'!K45,0))</f>
        <v/>
      </c>
      <c r="I42" s="134" t="str">
        <f>IF('Line 6'!K45="","",ROUND('Line 6'!K45,0))</f>
        <v/>
      </c>
      <c r="J42" s="134" t="str">
        <f>IF('Line 7'!K45="","",ROUND('Line 7'!K45,0))</f>
        <v/>
      </c>
      <c r="K42" s="135" t="str">
        <f>IF('Line 8'!K45="","",ROUND('Line 8'!K45,0))</f>
        <v/>
      </c>
    </row>
    <row r="43" spans="1:11" x14ac:dyDescent="0.2">
      <c r="A43" s="126">
        <f t="shared" si="3"/>
        <v>39</v>
      </c>
      <c r="B43" s="127" t="str">
        <f t="shared" si="4"/>
        <v/>
      </c>
      <c r="C43" s="127" t="str">
        <f t="shared" si="5"/>
        <v/>
      </c>
      <c r="D43" s="134">
        <f>IF('Line 1'!K46="","",ROUND('Line 1'!K46,0))</f>
        <v>3610</v>
      </c>
      <c r="E43" s="134">
        <f>IF('Line 2'!K46="","",ROUND('Line 2'!K46,0))</f>
        <v>3610</v>
      </c>
      <c r="F43" s="134" t="str">
        <f>IF('Line 3'!K46="","",ROUND('Line 3'!K46,0))</f>
        <v/>
      </c>
      <c r="G43" s="134" t="str">
        <f>IF('Line 4'!K46="","",ROUND('Line 4'!K46,0))</f>
        <v/>
      </c>
      <c r="H43" s="134" t="str">
        <f>IF('Line 5'!K46="","",ROUND('Line 5'!K46,0))</f>
        <v/>
      </c>
      <c r="I43" s="134" t="str">
        <f>IF('Line 6'!K46="","",ROUND('Line 6'!K46,0))</f>
        <v/>
      </c>
      <c r="J43" s="134" t="str">
        <f>IF('Line 7'!K46="","",ROUND('Line 7'!K46,0))</f>
        <v/>
      </c>
      <c r="K43" s="135" t="str">
        <f>IF('Line 8'!K46="","",ROUND('Line 8'!K46,0))</f>
        <v/>
      </c>
    </row>
    <row r="44" spans="1:11" x14ac:dyDescent="0.2">
      <c r="A44" s="126" t="str">
        <f t="shared" si="3"/>
        <v/>
      </c>
      <c r="B44" s="127" t="str">
        <f t="shared" si="4"/>
        <v/>
      </c>
      <c r="C44" s="127" t="str">
        <f t="shared" si="5"/>
        <v/>
      </c>
      <c r="D44" s="134" t="str">
        <f>IF('Line 1'!K47="","",ROUND('Line 1'!K47,0))</f>
        <v/>
      </c>
      <c r="E44" s="134" t="str">
        <f>IF('Line 2'!K47="","",ROUND('Line 2'!K47,0))</f>
        <v/>
      </c>
      <c r="F44" s="134" t="str">
        <f>IF('Line 3'!K47="","",ROUND('Line 3'!K47,0))</f>
        <v/>
      </c>
      <c r="G44" s="134" t="str">
        <f>IF('Line 4'!K47="","",ROUND('Line 4'!K47,0))</f>
        <v/>
      </c>
      <c r="H44" s="134" t="str">
        <f>IF('Line 5'!K47="","",ROUND('Line 5'!K47,0))</f>
        <v/>
      </c>
      <c r="I44" s="134" t="str">
        <f>IF('Line 6'!K47="","",ROUND('Line 6'!K47,0))</f>
        <v/>
      </c>
      <c r="J44" s="134" t="str">
        <f>IF('Line 7'!K47="","",ROUND('Line 7'!K47,0))</f>
        <v/>
      </c>
      <c r="K44" s="135" t="str">
        <f>IF('Line 8'!K47="","",ROUND('Line 8'!K47,0))</f>
        <v/>
      </c>
    </row>
    <row r="45" spans="1:11" x14ac:dyDescent="0.2">
      <c r="A45" s="126" t="str">
        <f t="shared" si="3"/>
        <v/>
      </c>
      <c r="B45" s="127" t="str">
        <f t="shared" si="4"/>
        <v/>
      </c>
      <c r="C45" s="127" t="str">
        <f t="shared" si="5"/>
        <v/>
      </c>
      <c r="D45" s="134" t="str">
        <f>IF('Line 1'!K48="","",ROUND('Line 1'!K48,0))</f>
        <v/>
      </c>
      <c r="E45" s="134" t="str">
        <f>IF('Line 2'!K48="","",ROUND('Line 2'!K48,0))</f>
        <v/>
      </c>
      <c r="F45" s="134" t="str">
        <f>IF('Line 3'!K48="","",ROUND('Line 3'!K48,0))</f>
        <v/>
      </c>
      <c r="G45" s="134" t="str">
        <f>IF('Line 4'!K48="","",ROUND('Line 4'!K48,0))</f>
        <v/>
      </c>
      <c r="H45" s="134" t="str">
        <f>IF('Line 5'!K48="","",ROUND('Line 5'!K48,0))</f>
        <v/>
      </c>
      <c r="I45" s="134" t="str">
        <f>IF('Line 6'!K48="","",ROUND('Line 6'!K48,0))</f>
        <v/>
      </c>
      <c r="J45" s="134" t="str">
        <f>IF('Line 7'!K48="","",ROUND('Line 7'!K48,0))</f>
        <v/>
      </c>
      <c r="K45" s="135" t="str">
        <f>IF('Line 8'!K48="","",ROUND('Line 8'!K48,0))</f>
        <v/>
      </c>
    </row>
    <row r="46" spans="1:11" x14ac:dyDescent="0.2">
      <c r="A46" s="126" t="str">
        <f t="shared" si="3"/>
        <v/>
      </c>
      <c r="B46" s="127" t="str">
        <f t="shared" si="4"/>
        <v/>
      </c>
      <c r="C46" s="127" t="str">
        <f t="shared" si="5"/>
        <v/>
      </c>
      <c r="D46" s="134" t="str">
        <f>IF('Line 1'!K49="","",ROUND('Line 1'!K49,0))</f>
        <v/>
      </c>
      <c r="E46" s="134" t="str">
        <f>IF('Line 2'!K49="","",ROUND('Line 2'!K49,0))</f>
        <v/>
      </c>
      <c r="F46" s="134" t="str">
        <f>IF('Line 3'!K49="","",ROUND('Line 3'!K49,0))</f>
        <v/>
      </c>
      <c r="G46" s="134" t="str">
        <f>IF('Line 4'!K49="","",ROUND('Line 4'!K49,0))</f>
        <v/>
      </c>
      <c r="H46" s="134" t="str">
        <f>IF('Line 5'!K49="","",ROUND('Line 5'!K49,0))</f>
        <v/>
      </c>
      <c r="I46" s="134" t="str">
        <f>IF('Line 6'!K49="","",ROUND('Line 6'!K49,0))</f>
        <v/>
      </c>
      <c r="J46" s="134" t="str">
        <f>IF('Line 7'!K49="","",ROUND('Line 7'!K49,0))</f>
        <v/>
      </c>
      <c r="K46" s="135" t="str">
        <f>IF('Line 8'!K49="","",ROUND('Line 8'!K49,0))</f>
        <v/>
      </c>
    </row>
    <row r="47" spans="1:11" x14ac:dyDescent="0.2">
      <c r="A47" s="126" t="str">
        <f t="shared" si="3"/>
        <v/>
      </c>
      <c r="B47" s="127" t="str">
        <f t="shared" si="4"/>
        <v/>
      </c>
      <c r="C47" s="127" t="str">
        <f t="shared" si="5"/>
        <v/>
      </c>
      <c r="D47" s="134" t="str">
        <f>IF('Line 1'!K50="","",ROUND('Line 1'!K50,0))</f>
        <v/>
      </c>
      <c r="E47" s="134" t="str">
        <f>IF('Line 2'!K50="","",ROUND('Line 2'!K50,0))</f>
        <v/>
      </c>
      <c r="F47" s="134" t="str">
        <f>IF('Line 3'!K50="","",ROUND('Line 3'!K50,0))</f>
        <v/>
      </c>
      <c r="G47" s="134" t="str">
        <f>IF('Line 4'!K50="","",ROUND('Line 4'!K50,0))</f>
        <v/>
      </c>
      <c r="H47" s="134" t="str">
        <f>IF('Line 5'!K50="","",ROUND('Line 5'!K50,0))</f>
        <v/>
      </c>
      <c r="I47" s="134" t="str">
        <f>IF('Line 6'!K50="","",ROUND('Line 6'!K50,0))</f>
        <v/>
      </c>
      <c r="J47" s="134" t="str">
        <f>IF('Line 7'!K50="","",ROUND('Line 7'!K50,0))</f>
        <v/>
      </c>
      <c r="K47" s="135" t="str">
        <f>IF('Line 8'!K50="","",ROUND('Line 8'!K50,0))</f>
        <v/>
      </c>
    </row>
    <row r="48" spans="1:11" x14ac:dyDescent="0.2">
      <c r="A48" s="126" t="str">
        <f t="shared" si="3"/>
        <v/>
      </c>
      <c r="B48" s="127" t="str">
        <f t="shared" si="4"/>
        <v/>
      </c>
      <c r="C48" s="127" t="str">
        <f t="shared" si="5"/>
        <v/>
      </c>
      <c r="D48" s="134" t="str">
        <f>IF('Line 1'!K51="","",ROUND('Line 1'!K51,0))</f>
        <v/>
      </c>
      <c r="E48" s="134" t="str">
        <f>IF('Line 2'!K51="","",ROUND('Line 2'!K51,0))</f>
        <v/>
      </c>
      <c r="F48" s="134" t="str">
        <f>IF('Line 3'!K51="","",ROUND('Line 3'!K51,0))</f>
        <v/>
      </c>
      <c r="G48" s="134" t="str">
        <f>IF('Line 4'!K51="","",ROUND('Line 4'!K51,0))</f>
        <v/>
      </c>
      <c r="H48" s="134" t="str">
        <f>IF('Line 5'!K51="","",ROUND('Line 5'!K51,0))</f>
        <v/>
      </c>
      <c r="I48" s="134" t="str">
        <f>IF('Line 6'!K51="","",ROUND('Line 6'!K51,0))</f>
        <v/>
      </c>
      <c r="J48" s="134" t="str">
        <f>IF('Line 7'!K51="","",ROUND('Line 7'!K51,0))</f>
        <v/>
      </c>
      <c r="K48" s="135" t="str">
        <f>IF('Line 8'!K51="","",ROUND('Line 8'!K51,0))</f>
        <v/>
      </c>
    </row>
    <row r="49" spans="1:11" x14ac:dyDescent="0.2">
      <c r="A49" s="126" t="str">
        <f t="shared" si="3"/>
        <v/>
      </c>
      <c r="B49" s="127" t="str">
        <f t="shared" si="4"/>
        <v/>
      </c>
      <c r="C49" s="127" t="str">
        <f t="shared" si="5"/>
        <v/>
      </c>
      <c r="D49" s="134" t="str">
        <f>IF('Line 1'!K52="","",ROUND('Line 1'!K52,0))</f>
        <v/>
      </c>
      <c r="E49" s="134" t="str">
        <f>IF('Line 2'!K52="","",ROUND('Line 2'!K52,0))</f>
        <v/>
      </c>
      <c r="F49" s="134" t="str">
        <f>IF('Line 3'!K52="","",ROUND('Line 3'!K52,0))</f>
        <v/>
      </c>
      <c r="G49" s="134" t="str">
        <f>IF('Line 4'!K52="","",ROUND('Line 4'!K52,0))</f>
        <v/>
      </c>
      <c r="H49" s="134" t="str">
        <f>IF('Line 5'!K52="","",ROUND('Line 5'!K52,0))</f>
        <v/>
      </c>
      <c r="I49" s="134" t="str">
        <f>IF('Line 6'!K52="","",ROUND('Line 6'!K52,0))</f>
        <v/>
      </c>
      <c r="J49" s="134" t="str">
        <f>IF('Line 7'!K52="","",ROUND('Line 7'!K52,0))</f>
        <v/>
      </c>
      <c r="K49" s="135" t="str">
        <f>IF('Line 8'!K52="","",ROUND('Line 8'!K52,0))</f>
        <v/>
      </c>
    </row>
    <row r="50" spans="1:11" x14ac:dyDescent="0.2">
      <c r="A50" s="126" t="str">
        <f t="shared" si="3"/>
        <v/>
      </c>
      <c r="B50" s="127" t="str">
        <f t="shared" si="4"/>
        <v/>
      </c>
      <c r="C50" s="127" t="str">
        <f t="shared" si="5"/>
        <v/>
      </c>
      <c r="D50" s="134" t="str">
        <f>IF('Line 1'!K53="","",ROUND('Line 1'!K53,0))</f>
        <v/>
      </c>
      <c r="E50" s="134" t="str">
        <f>IF('Line 2'!K53="","",ROUND('Line 2'!K53,0))</f>
        <v/>
      </c>
      <c r="F50" s="134" t="str">
        <f>IF('Line 3'!K53="","",ROUND('Line 3'!K53,0))</f>
        <v/>
      </c>
      <c r="G50" s="134" t="str">
        <f>IF('Line 4'!K53="","",ROUND('Line 4'!K53,0))</f>
        <v/>
      </c>
      <c r="H50" s="134" t="str">
        <f>IF('Line 5'!K53="","",ROUND('Line 5'!K53,0))</f>
        <v/>
      </c>
      <c r="I50" s="134" t="str">
        <f>IF('Line 6'!K53="","",ROUND('Line 6'!K53,0))</f>
        <v/>
      </c>
      <c r="J50" s="134" t="str">
        <f>IF('Line 7'!K53="","",ROUND('Line 7'!K53,0))</f>
        <v/>
      </c>
      <c r="K50" s="135" t="str">
        <f>IF('Line 8'!K53="","",ROUND('Line 8'!K53,0))</f>
        <v/>
      </c>
    </row>
    <row r="51" spans="1:11" x14ac:dyDescent="0.2">
      <c r="A51" s="126" t="str">
        <f t="shared" si="3"/>
        <v/>
      </c>
      <c r="B51" s="127" t="str">
        <f t="shared" si="4"/>
        <v/>
      </c>
      <c r="C51" s="127" t="str">
        <f t="shared" si="5"/>
        <v/>
      </c>
      <c r="D51" s="134" t="str">
        <f>IF('Line 1'!K54="","",ROUND('Line 1'!K54,0))</f>
        <v/>
      </c>
      <c r="E51" s="134" t="str">
        <f>IF('Line 2'!K54="","",ROUND('Line 2'!K54,0))</f>
        <v/>
      </c>
      <c r="F51" s="134" t="str">
        <f>IF('Line 3'!K54="","",ROUND('Line 3'!K54,0))</f>
        <v/>
      </c>
      <c r="G51" s="134" t="str">
        <f>IF('Line 4'!K54="","",ROUND('Line 4'!K54,0))</f>
        <v/>
      </c>
      <c r="H51" s="134" t="str">
        <f>IF('Line 5'!K54="","",ROUND('Line 5'!K54,0))</f>
        <v/>
      </c>
      <c r="I51" s="134" t="str">
        <f>IF('Line 6'!K54="","",ROUND('Line 6'!K54,0))</f>
        <v/>
      </c>
      <c r="J51" s="134" t="str">
        <f>IF('Line 7'!K54="","",ROUND('Line 7'!K54,0))</f>
        <v/>
      </c>
      <c r="K51" s="135" t="str">
        <f>IF('Line 8'!K54="","",ROUND('Line 8'!K54,0))</f>
        <v/>
      </c>
    </row>
    <row r="52" spans="1:11" x14ac:dyDescent="0.2">
      <c r="A52" s="126" t="str">
        <f t="shared" si="3"/>
        <v/>
      </c>
      <c r="B52" s="127" t="str">
        <f t="shared" si="4"/>
        <v/>
      </c>
      <c r="C52" s="127" t="str">
        <f t="shared" si="5"/>
        <v/>
      </c>
      <c r="D52" s="134" t="str">
        <f>IF('Line 1'!K55="","",ROUND('Line 1'!K55,0))</f>
        <v/>
      </c>
      <c r="E52" s="134" t="str">
        <f>IF('Line 2'!K55="","",ROUND('Line 2'!K55,0))</f>
        <v/>
      </c>
      <c r="F52" s="134" t="str">
        <f>IF('Line 3'!K55="","",ROUND('Line 3'!K55,0))</f>
        <v/>
      </c>
      <c r="G52" s="134" t="str">
        <f>IF('Line 4'!K55="","",ROUND('Line 4'!K55,0))</f>
        <v/>
      </c>
      <c r="H52" s="134" t="str">
        <f>IF('Line 5'!K55="","",ROUND('Line 5'!K55,0))</f>
        <v/>
      </c>
      <c r="I52" s="134" t="str">
        <f>IF('Line 6'!K55="","",ROUND('Line 6'!K55,0))</f>
        <v/>
      </c>
      <c r="J52" s="134" t="str">
        <f>IF('Line 7'!K55="","",ROUND('Line 7'!K55,0))</f>
        <v/>
      </c>
      <c r="K52" s="135" t="str">
        <f>IF('Line 8'!K55="","",ROUND('Line 8'!K55,0))</f>
        <v/>
      </c>
    </row>
    <row r="53" spans="1:11" x14ac:dyDescent="0.2">
      <c r="A53" s="126" t="str">
        <f t="shared" si="3"/>
        <v/>
      </c>
      <c r="B53" s="127" t="str">
        <f t="shared" si="4"/>
        <v/>
      </c>
      <c r="C53" s="127" t="str">
        <f t="shared" si="5"/>
        <v/>
      </c>
      <c r="D53" s="134" t="str">
        <f>IF('Line 1'!K56="","",ROUND('Line 1'!K56,0))</f>
        <v/>
      </c>
      <c r="E53" s="134" t="str">
        <f>IF('Line 2'!K56="","",ROUND('Line 2'!K56,0))</f>
        <v/>
      </c>
      <c r="F53" s="134" t="str">
        <f>IF('Line 3'!K56="","",ROUND('Line 3'!K56,0))</f>
        <v/>
      </c>
      <c r="G53" s="134" t="str">
        <f>IF('Line 4'!K56="","",ROUND('Line 4'!K56,0))</f>
        <v/>
      </c>
      <c r="H53" s="134" t="str">
        <f>IF('Line 5'!K56="","",ROUND('Line 5'!K56,0))</f>
        <v/>
      </c>
      <c r="I53" s="134" t="str">
        <f>IF('Line 6'!K56="","",ROUND('Line 6'!K56,0))</f>
        <v/>
      </c>
      <c r="J53" s="134" t="str">
        <f>IF('Line 7'!K56="","",ROUND('Line 7'!K56,0))</f>
        <v/>
      </c>
      <c r="K53" s="135" t="str">
        <f>IF('Line 8'!K56="","",ROUND('Line 8'!K56,0))</f>
        <v/>
      </c>
    </row>
    <row r="54" spans="1:11" x14ac:dyDescent="0.2">
      <c r="A54" s="126" t="str">
        <f t="shared" si="3"/>
        <v/>
      </c>
      <c r="B54" s="127" t="str">
        <f t="shared" si="4"/>
        <v/>
      </c>
      <c r="C54" s="127" t="str">
        <f t="shared" si="5"/>
        <v/>
      </c>
      <c r="D54" s="134" t="str">
        <f>IF('Line 1'!K57="","",ROUND('Line 1'!K57,0))</f>
        <v/>
      </c>
      <c r="E54" s="134" t="str">
        <f>IF('Line 2'!K57="","",ROUND('Line 2'!K57,0))</f>
        <v/>
      </c>
      <c r="F54" s="134" t="str">
        <f>IF('Line 3'!K57="","",ROUND('Line 3'!K57,0))</f>
        <v/>
      </c>
      <c r="G54" s="134" t="str">
        <f>IF('Line 4'!K57="","",ROUND('Line 4'!K57,0))</f>
        <v/>
      </c>
      <c r="H54" s="134" t="str">
        <f>IF('Line 5'!K57="","",ROUND('Line 5'!K57,0))</f>
        <v/>
      </c>
      <c r="I54" s="134" t="str">
        <f>IF('Line 6'!K57="","",ROUND('Line 6'!K57,0))</f>
        <v/>
      </c>
      <c r="J54" s="134" t="str">
        <f>IF('Line 7'!K57="","",ROUND('Line 7'!K57,0))</f>
        <v/>
      </c>
      <c r="K54" s="135" t="str">
        <f>IF('Line 8'!K57="","",ROUND('Line 8'!K57,0))</f>
        <v/>
      </c>
    </row>
    <row r="55" spans="1:11" x14ac:dyDescent="0.2">
      <c r="A55" s="126" t="str">
        <f t="shared" si="3"/>
        <v/>
      </c>
      <c r="B55" s="127" t="str">
        <f t="shared" si="4"/>
        <v/>
      </c>
      <c r="C55" s="127" t="str">
        <f t="shared" si="5"/>
        <v/>
      </c>
      <c r="D55" s="134" t="str">
        <f>IF('Line 1'!K58="","",ROUND('Line 1'!K58,0))</f>
        <v/>
      </c>
      <c r="E55" s="134" t="str">
        <f>IF('Line 2'!K58="","",ROUND('Line 2'!K58,0))</f>
        <v/>
      </c>
      <c r="F55" s="134" t="str">
        <f>IF('Line 3'!K58="","",ROUND('Line 3'!K58,0))</f>
        <v/>
      </c>
      <c r="G55" s="134" t="str">
        <f>IF('Line 4'!K58="","",ROUND('Line 4'!K58,0))</f>
        <v/>
      </c>
      <c r="H55" s="134" t="str">
        <f>IF('Line 5'!K58="","",ROUND('Line 5'!K58,0))</f>
        <v/>
      </c>
      <c r="I55" s="134" t="str">
        <f>IF('Line 6'!K58="","",ROUND('Line 6'!K58,0))</f>
        <v/>
      </c>
      <c r="J55" s="134" t="str">
        <f>IF('Line 7'!K58="","",ROUND('Line 7'!K58,0))</f>
        <v/>
      </c>
      <c r="K55" s="135" t="str">
        <f>IF('Line 8'!K58="","",ROUND('Line 8'!K58,0))</f>
        <v/>
      </c>
    </row>
    <row r="56" spans="1:11" x14ac:dyDescent="0.2">
      <c r="A56" s="126" t="str">
        <f t="shared" si="3"/>
        <v/>
      </c>
      <c r="B56" s="127" t="str">
        <f t="shared" si="4"/>
        <v/>
      </c>
      <c r="C56" s="127" t="str">
        <f t="shared" si="5"/>
        <v/>
      </c>
      <c r="D56" s="134" t="str">
        <f>IF('Line 1'!K59="","",ROUND('Line 1'!K59,0))</f>
        <v/>
      </c>
      <c r="E56" s="134" t="str">
        <f>IF('Line 2'!K59="","",ROUND('Line 2'!K59,0))</f>
        <v/>
      </c>
      <c r="F56" s="134" t="str">
        <f>IF('Line 3'!K59="","",ROUND('Line 3'!K59,0))</f>
        <v/>
      </c>
      <c r="G56" s="134" t="str">
        <f>IF('Line 4'!K59="","",ROUND('Line 4'!K59,0))</f>
        <v/>
      </c>
      <c r="H56" s="134" t="str">
        <f>IF('Line 5'!K59="","",ROUND('Line 5'!K59,0))</f>
        <v/>
      </c>
      <c r="I56" s="134" t="str">
        <f>IF('Line 6'!K59="","",ROUND('Line 6'!K59,0))</f>
        <v/>
      </c>
      <c r="J56" s="134" t="str">
        <f>IF('Line 7'!K59="","",ROUND('Line 7'!K59,0))</f>
        <v/>
      </c>
      <c r="K56" s="135" t="str">
        <f>IF('Line 8'!K59="","",ROUND('Line 8'!K59,0))</f>
        <v/>
      </c>
    </row>
    <row r="57" spans="1:11" x14ac:dyDescent="0.2">
      <c r="A57" s="126" t="str">
        <f t="shared" si="3"/>
        <v/>
      </c>
      <c r="B57" s="127" t="str">
        <f t="shared" si="4"/>
        <v/>
      </c>
      <c r="C57" s="127" t="str">
        <f t="shared" si="5"/>
        <v/>
      </c>
      <c r="D57" s="134" t="str">
        <f>IF('Line 1'!K60="","",ROUND('Line 1'!K60,0))</f>
        <v/>
      </c>
      <c r="E57" s="134" t="str">
        <f>IF('Line 2'!K60="","",ROUND('Line 2'!K60,0))</f>
        <v/>
      </c>
      <c r="F57" s="134" t="str">
        <f>IF('Line 3'!K60="","",ROUND('Line 3'!K60,0))</f>
        <v/>
      </c>
      <c r="G57" s="134" t="str">
        <f>IF('Line 4'!K60="","",ROUND('Line 4'!K60,0))</f>
        <v/>
      </c>
      <c r="H57" s="134" t="str">
        <f>IF('Line 5'!K60="","",ROUND('Line 5'!K60,0))</f>
        <v/>
      </c>
      <c r="I57" s="134" t="str">
        <f>IF('Line 6'!K60="","",ROUND('Line 6'!K60,0))</f>
        <v/>
      </c>
      <c r="J57" s="134" t="str">
        <f>IF('Line 7'!K60="","",ROUND('Line 7'!K60,0))</f>
        <v/>
      </c>
      <c r="K57" s="135" t="str">
        <f>IF('Line 8'!K60="","",ROUND('Line 8'!K60,0))</f>
        <v/>
      </c>
    </row>
    <row r="58" spans="1:11" x14ac:dyDescent="0.2">
      <c r="A58" s="126" t="str">
        <f t="shared" si="3"/>
        <v/>
      </c>
      <c r="B58" s="127" t="str">
        <f t="shared" si="4"/>
        <v/>
      </c>
      <c r="C58" s="127" t="str">
        <f t="shared" si="5"/>
        <v/>
      </c>
      <c r="D58" s="134" t="str">
        <f>IF('Line 1'!K61="","",ROUND('Line 1'!K61,0))</f>
        <v/>
      </c>
      <c r="E58" s="134" t="str">
        <f>IF('Line 2'!K61="","",ROUND('Line 2'!K61,0))</f>
        <v/>
      </c>
      <c r="F58" s="134" t="str">
        <f>IF('Line 3'!K61="","",ROUND('Line 3'!K61,0))</f>
        <v/>
      </c>
      <c r="G58" s="134" t="str">
        <f>IF('Line 4'!K61="","",ROUND('Line 4'!K61,0))</f>
        <v/>
      </c>
      <c r="H58" s="134" t="str">
        <f>IF('Line 5'!K61="","",ROUND('Line 5'!K61,0))</f>
        <v/>
      </c>
      <c r="I58" s="134" t="str">
        <f>IF('Line 6'!K61="","",ROUND('Line 6'!K61,0))</f>
        <v/>
      </c>
      <c r="J58" s="134" t="str">
        <f>IF('Line 7'!K61="","",ROUND('Line 7'!K61,0))</f>
        <v/>
      </c>
      <c r="K58" s="135" t="str">
        <f>IF('Line 8'!K61="","",ROUND('Line 8'!K61,0))</f>
        <v/>
      </c>
    </row>
    <row r="59" spans="1:11" x14ac:dyDescent="0.2">
      <c r="A59" s="126" t="str">
        <f t="shared" si="3"/>
        <v/>
      </c>
      <c r="B59" s="127" t="str">
        <f t="shared" si="4"/>
        <v/>
      </c>
      <c r="C59" s="127" t="str">
        <f t="shared" si="5"/>
        <v/>
      </c>
      <c r="D59" s="134" t="str">
        <f>IF('Line 1'!K62="","",ROUND('Line 1'!K62,0))</f>
        <v/>
      </c>
      <c r="E59" s="134" t="str">
        <f>IF('Line 2'!K62="","",ROUND('Line 2'!K62,0))</f>
        <v/>
      </c>
      <c r="F59" s="134" t="str">
        <f>IF('Line 3'!K62="","",ROUND('Line 3'!K62,0))</f>
        <v/>
      </c>
      <c r="G59" s="134" t="str">
        <f>IF('Line 4'!K62="","",ROUND('Line 4'!K62,0))</f>
        <v/>
      </c>
      <c r="H59" s="134" t="str">
        <f>IF('Line 5'!K62="","",ROUND('Line 5'!K62,0))</f>
        <v/>
      </c>
      <c r="I59" s="134" t="str">
        <f>IF('Line 6'!K62="","",ROUND('Line 6'!K62,0))</f>
        <v/>
      </c>
      <c r="J59" s="134" t="str">
        <f>IF('Line 7'!K62="","",ROUND('Line 7'!K62,0))</f>
        <v/>
      </c>
      <c r="K59" s="135" t="str">
        <f>IF('Line 8'!K62="","",ROUND('Line 8'!K62,0))</f>
        <v/>
      </c>
    </row>
    <row r="60" spans="1:11" x14ac:dyDescent="0.2">
      <c r="A60" s="126" t="str">
        <f t="shared" si="3"/>
        <v/>
      </c>
      <c r="B60" s="127" t="str">
        <f t="shared" si="4"/>
        <v/>
      </c>
      <c r="C60" s="127" t="str">
        <f t="shared" si="5"/>
        <v/>
      </c>
      <c r="D60" s="134" t="str">
        <f>IF('Line 1'!K63="","",ROUND('Line 1'!K63,0))</f>
        <v/>
      </c>
      <c r="E60" s="134" t="str">
        <f>IF('Line 2'!K63="","",ROUND('Line 2'!K63,0))</f>
        <v/>
      </c>
      <c r="F60" s="134" t="str">
        <f>IF('Line 3'!K63="","",ROUND('Line 3'!K63,0))</f>
        <v/>
      </c>
      <c r="G60" s="134" t="str">
        <f>IF('Line 4'!K63="","",ROUND('Line 4'!K63,0))</f>
        <v/>
      </c>
      <c r="H60" s="134" t="str">
        <f>IF('Line 5'!K63="","",ROUND('Line 5'!K63,0))</f>
        <v/>
      </c>
      <c r="I60" s="134" t="str">
        <f>IF('Line 6'!K63="","",ROUND('Line 6'!K63,0))</f>
        <v/>
      </c>
      <c r="J60" s="134" t="str">
        <f>IF('Line 7'!K63="","",ROUND('Line 7'!K63,0))</f>
        <v/>
      </c>
      <c r="K60" s="135" t="str">
        <f>IF('Line 8'!K63="","",ROUND('Line 8'!K63,0))</f>
        <v/>
      </c>
    </row>
    <row r="61" spans="1:11" x14ac:dyDescent="0.2">
      <c r="A61" s="126" t="str">
        <f t="shared" si="3"/>
        <v/>
      </c>
      <c r="B61" s="127" t="str">
        <f t="shared" si="4"/>
        <v/>
      </c>
      <c r="C61" s="127" t="str">
        <f t="shared" si="5"/>
        <v/>
      </c>
      <c r="D61" s="134" t="str">
        <f>IF('Line 1'!K64="","",ROUND('Line 1'!K64,0))</f>
        <v/>
      </c>
      <c r="E61" s="134" t="str">
        <f>IF('Line 2'!K64="","",ROUND('Line 2'!K64,0))</f>
        <v/>
      </c>
      <c r="F61" s="134" t="str">
        <f>IF('Line 3'!K64="","",ROUND('Line 3'!K64,0))</f>
        <v/>
      </c>
      <c r="G61" s="134" t="str">
        <f>IF('Line 4'!K64="","",ROUND('Line 4'!K64,0))</f>
        <v/>
      </c>
      <c r="H61" s="134" t="str">
        <f>IF('Line 5'!K64="","",ROUND('Line 5'!K64,0))</f>
        <v/>
      </c>
      <c r="I61" s="134" t="str">
        <f>IF('Line 6'!K64="","",ROUND('Line 6'!K64,0))</f>
        <v/>
      </c>
      <c r="J61" s="134" t="str">
        <f>IF('Line 7'!K64="","",ROUND('Line 7'!K64,0))</f>
        <v/>
      </c>
      <c r="K61" s="135" t="str">
        <f>IF('Line 8'!K64="","",ROUND('Line 8'!K64,0))</f>
        <v/>
      </c>
    </row>
    <row r="62" spans="1:11" x14ac:dyDescent="0.2">
      <c r="A62" s="126" t="str">
        <f t="shared" si="3"/>
        <v/>
      </c>
      <c r="B62" s="127" t="str">
        <f t="shared" si="4"/>
        <v/>
      </c>
      <c r="C62" s="127" t="str">
        <f t="shared" si="5"/>
        <v/>
      </c>
      <c r="D62" s="134" t="str">
        <f>IF('Line 1'!K65="","",ROUND('Line 1'!K65,0))</f>
        <v/>
      </c>
      <c r="E62" s="134" t="str">
        <f>IF('Line 2'!K65="","",ROUND('Line 2'!K65,0))</f>
        <v/>
      </c>
      <c r="F62" s="134" t="str">
        <f>IF('Line 3'!K65="","",ROUND('Line 3'!K65,0))</f>
        <v/>
      </c>
      <c r="G62" s="134" t="str">
        <f>IF('Line 4'!K65="","",ROUND('Line 4'!K65,0))</f>
        <v/>
      </c>
      <c r="H62" s="134" t="str">
        <f>IF('Line 5'!K65="","",ROUND('Line 5'!K65,0))</f>
        <v/>
      </c>
      <c r="I62" s="134" t="str">
        <f>IF('Line 6'!K65="","",ROUND('Line 6'!K65,0))</f>
        <v/>
      </c>
      <c r="J62" s="134" t="str">
        <f>IF('Line 7'!K65="","",ROUND('Line 7'!K65,0))</f>
        <v/>
      </c>
      <c r="K62" s="135" t="str">
        <f>IF('Line 8'!K65="","",ROUND('Line 8'!K65,0))</f>
        <v/>
      </c>
    </row>
    <row r="63" spans="1:11" x14ac:dyDescent="0.2">
      <c r="A63" s="126" t="str">
        <f t="shared" si="3"/>
        <v/>
      </c>
      <c r="B63" s="127" t="str">
        <f t="shared" si="4"/>
        <v/>
      </c>
      <c r="C63" s="127" t="str">
        <f t="shared" si="5"/>
        <v/>
      </c>
      <c r="D63" s="134" t="str">
        <f>IF('Line 1'!K66="","",ROUND('Line 1'!K66,0))</f>
        <v/>
      </c>
      <c r="E63" s="134" t="str">
        <f>IF('Line 2'!K66="","",ROUND('Line 2'!K66,0))</f>
        <v/>
      </c>
      <c r="F63" s="134" t="str">
        <f>IF('Line 3'!K66="","",ROUND('Line 3'!K66,0))</f>
        <v/>
      </c>
      <c r="G63" s="134" t="str">
        <f>IF('Line 4'!K66="","",ROUND('Line 4'!K66,0))</f>
        <v/>
      </c>
      <c r="H63" s="134" t="str">
        <f>IF('Line 5'!K66="","",ROUND('Line 5'!K66,0))</f>
        <v/>
      </c>
      <c r="I63" s="134" t="str">
        <f>IF('Line 6'!K66="","",ROUND('Line 6'!K66,0))</f>
        <v/>
      </c>
      <c r="J63" s="134" t="str">
        <f>IF('Line 7'!K66="","",ROUND('Line 7'!K66,0))</f>
        <v/>
      </c>
      <c r="K63" s="135" t="str">
        <f>IF('Line 8'!K66="","",ROUND('Line 8'!K66,0))</f>
        <v/>
      </c>
    </row>
    <row r="64" spans="1:11" x14ac:dyDescent="0.2">
      <c r="A64" s="126" t="str">
        <f t="shared" si="3"/>
        <v/>
      </c>
      <c r="B64" s="127" t="str">
        <f t="shared" si="4"/>
        <v/>
      </c>
      <c r="C64" s="127" t="str">
        <f t="shared" si="5"/>
        <v/>
      </c>
      <c r="D64" s="134" t="str">
        <f>IF('Line 1'!K67="","",ROUND('Line 1'!K67,0))</f>
        <v/>
      </c>
      <c r="E64" s="134" t="str">
        <f>IF('Line 2'!K67="","",ROUND('Line 2'!K67,0))</f>
        <v/>
      </c>
      <c r="F64" s="134" t="str">
        <f>IF('Line 3'!K67="","",ROUND('Line 3'!K67,0))</f>
        <v/>
      </c>
      <c r="G64" s="134" t="str">
        <f>IF('Line 4'!K67="","",ROUND('Line 4'!K67,0))</f>
        <v/>
      </c>
      <c r="H64" s="134" t="str">
        <f>IF('Line 5'!K67="","",ROUND('Line 5'!K67,0))</f>
        <v/>
      </c>
      <c r="I64" s="134" t="str">
        <f>IF('Line 6'!K67="","",ROUND('Line 6'!K67,0))</f>
        <v/>
      </c>
      <c r="J64" s="134" t="str">
        <f>IF('Line 7'!K67="","",ROUND('Line 7'!K67,0))</f>
        <v/>
      </c>
      <c r="K64" s="135" t="str">
        <f>IF('Line 8'!K67="","",ROUND('Line 8'!K67,0))</f>
        <v/>
      </c>
    </row>
    <row r="65" spans="1:11" x14ac:dyDescent="0.2">
      <c r="A65" s="126" t="str">
        <f t="shared" si="3"/>
        <v/>
      </c>
      <c r="B65" s="127" t="str">
        <f t="shared" si="4"/>
        <v/>
      </c>
      <c r="C65" s="127" t="str">
        <f t="shared" si="5"/>
        <v/>
      </c>
      <c r="D65" s="134" t="str">
        <f>IF('Line 1'!K68="","",ROUND('Line 1'!K68,0))</f>
        <v/>
      </c>
      <c r="E65" s="134" t="str">
        <f>IF('Line 2'!K68="","",ROUND('Line 2'!K68,0))</f>
        <v/>
      </c>
      <c r="F65" s="134" t="str">
        <f>IF('Line 3'!K68="","",ROUND('Line 3'!K68,0))</f>
        <v/>
      </c>
      <c r="G65" s="134" t="str">
        <f>IF('Line 4'!K68="","",ROUND('Line 4'!K68,0))</f>
        <v/>
      </c>
      <c r="H65" s="134" t="str">
        <f>IF('Line 5'!K68="","",ROUND('Line 5'!K68,0))</f>
        <v/>
      </c>
      <c r="I65" s="134" t="str">
        <f>IF('Line 6'!K68="","",ROUND('Line 6'!K68,0))</f>
        <v/>
      </c>
      <c r="J65" s="134" t="str">
        <f>IF('Line 7'!K68="","",ROUND('Line 7'!K68,0))</f>
        <v/>
      </c>
      <c r="K65" s="135" t="str">
        <f>IF('Line 8'!K68="","",ROUND('Line 8'!K68,0))</f>
        <v/>
      </c>
    </row>
    <row r="66" spans="1:11" x14ac:dyDescent="0.2">
      <c r="A66" s="126" t="str">
        <f t="shared" si="3"/>
        <v/>
      </c>
      <c r="B66" s="127" t="str">
        <f t="shared" si="4"/>
        <v/>
      </c>
      <c r="C66" s="127" t="str">
        <f t="shared" si="5"/>
        <v/>
      </c>
      <c r="D66" s="134" t="str">
        <f>IF('Line 1'!K69="","",ROUND('Line 1'!K69,0))</f>
        <v/>
      </c>
      <c r="E66" s="134" t="str">
        <f>IF('Line 2'!K69="","",ROUND('Line 2'!K69,0))</f>
        <v/>
      </c>
      <c r="F66" s="134" t="str">
        <f>IF('Line 3'!K69="","",ROUND('Line 3'!K69,0))</f>
        <v/>
      </c>
      <c r="G66" s="134" t="str">
        <f>IF('Line 4'!K69="","",ROUND('Line 4'!K69,0))</f>
        <v/>
      </c>
      <c r="H66" s="134" t="str">
        <f>IF('Line 5'!K69="","",ROUND('Line 5'!K69,0))</f>
        <v/>
      </c>
      <c r="I66" s="134" t="str">
        <f>IF('Line 6'!K69="","",ROUND('Line 6'!K69,0))</f>
        <v/>
      </c>
      <c r="J66" s="134" t="str">
        <f>IF('Line 7'!K69="","",ROUND('Line 7'!K69,0))</f>
        <v/>
      </c>
      <c r="K66" s="135" t="str">
        <f>IF('Line 8'!K69="","",ROUND('Line 8'!K69,0))</f>
        <v/>
      </c>
    </row>
    <row r="67" spans="1:11" x14ac:dyDescent="0.2">
      <c r="A67" s="126" t="str">
        <f t="shared" si="3"/>
        <v/>
      </c>
      <c r="B67" s="127" t="str">
        <f t="shared" si="4"/>
        <v/>
      </c>
      <c r="C67" s="127" t="str">
        <f t="shared" si="5"/>
        <v/>
      </c>
      <c r="D67" s="134" t="str">
        <f>IF('Line 1'!K70="","",ROUND('Line 1'!K70,0))</f>
        <v/>
      </c>
      <c r="E67" s="134" t="str">
        <f>IF('Line 2'!K70="","",ROUND('Line 2'!K70,0))</f>
        <v/>
      </c>
      <c r="F67" s="134" t="str">
        <f>IF('Line 3'!K70="","",ROUND('Line 3'!K70,0))</f>
        <v/>
      </c>
      <c r="G67" s="134" t="str">
        <f>IF('Line 4'!K70="","",ROUND('Line 4'!K70,0))</f>
        <v/>
      </c>
      <c r="H67" s="134" t="str">
        <f>IF('Line 5'!K70="","",ROUND('Line 5'!K70,0))</f>
        <v/>
      </c>
      <c r="I67" s="134" t="str">
        <f>IF('Line 6'!K70="","",ROUND('Line 6'!K70,0))</f>
        <v/>
      </c>
      <c r="J67" s="134" t="str">
        <f>IF('Line 7'!K70="","",ROUND('Line 7'!K70,0))</f>
        <v/>
      </c>
      <c r="K67" s="135" t="str">
        <f>IF('Line 8'!K70="","",ROUND('Line 8'!K70,0))</f>
        <v/>
      </c>
    </row>
    <row r="68" spans="1:11" x14ac:dyDescent="0.2">
      <c r="A68" s="126" t="str">
        <f t="shared" si="3"/>
        <v/>
      </c>
      <c r="B68" s="127" t="str">
        <f t="shared" si="4"/>
        <v/>
      </c>
      <c r="C68" s="127" t="str">
        <f t="shared" si="5"/>
        <v/>
      </c>
      <c r="D68" s="134" t="str">
        <f>IF('Line 1'!K71="","",ROUND('Line 1'!K71,0))</f>
        <v/>
      </c>
      <c r="E68" s="134" t="str">
        <f>IF('Line 2'!K71="","",ROUND('Line 2'!K71,0))</f>
        <v/>
      </c>
      <c r="F68" s="134" t="str">
        <f>IF('Line 3'!K71="","",ROUND('Line 3'!K71,0))</f>
        <v/>
      </c>
      <c r="G68" s="134" t="str">
        <f>IF('Line 4'!K71="","",ROUND('Line 4'!K71,0))</f>
        <v/>
      </c>
      <c r="H68" s="134" t="str">
        <f>IF('Line 5'!K71="","",ROUND('Line 5'!K71,0))</f>
        <v/>
      </c>
      <c r="I68" s="134" t="str">
        <f>IF('Line 6'!K71="","",ROUND('Line 6'!K71,0))</f>
        <v/>
      </c>
      <c r="J68" s="134" t="str">
        <f>IF('Line 7'!K71="","",ROUND('Line 7'!K71,0))</f>
        <v/>
      </c>
      <c r="K68" s="135" t="str">
        <f>IF('Line 8'!K71="","",ROUND('Line 8'!K71,0))</f>
        <v/>
      </c>
    </row>
    <row r="69" spans="1:11" x14ac:dyDescent="0.2">
      <c r="A69" s="126" t="str">
        <f t="shared" si="3"/>
        <v/>
      </c>
      <c r="B69" s="127" t="str">
        <f t="shared" si="4"/>
        <v/>
      </c>
      <c r="C69" s="127" t="str">
        <f t="shared" si="5"/>
        <v/>
      </c>
      <c r="D69" s="134" t="str">
        <f>IF('Line 1'!K72="","",ROUND('Line 1'!K72,0))</f>
        <v/>
      </c>
      <c r="E69" s="134" t="str">
        <f>IF('Line 2'!K72="","",ROUND('Line 2'!K72,0))</f>
        <v/>
      </c>
      <c r="F69" s="134" t="str">
        <f>IF('Line 3'!K72="","",ROUND('Line 3'!K72,0))</f>
        <v/>
      </c>
      <c r="G69" s="134" t="str">
        <f>IF('Line 4'!K72="","",ROUND('Line 4'!K72,0))</f>
        <v/>
      </c>
      <c r="H69" s="134" t="str">
        <f>IF('Line 5'!K72="","",ROUND('Line 5'!K72,0))</f>
        <v/>
      </c>
      <c r="I69" s="134" t="str">
        <f>IF('Line 6'!K72="","",ROUND('Line 6'!K72,0))</f>
        <v/>
      </c>
      <c r="J69" s="134" t="str">
        <f>IF('Line 7'!K72="","",ROUND('Line 7'!K72,0))</f>
        <v/>
      </c>
      <c r="K69" s="135" t="str">
        <f>IF('Line 8'!K72="","",ROUND('Line 8'!K72,0))</f>
        <v/>
      </c>
    </row>
    <row r="70" spans="1:11" x14ac:dyDescent="0.2">
      <c r="A70" s="126" t="str">
        <f t="shared" ref="A70:A104" si="6">IF(D70="","",ROW(D70)-4)</f>
        <v/>
      </c>
      <c r="B70" s="127" t="str">
        <f t="shared" ref="B70:B104" si="7">IF(F70="","",ROW(F70)-4)</f>
        <v/>
      </c>
      <c r="C70" s="127" t="str">
        <f t="shared" ref="C70:C104" si="8">IF(G70="","",ROW(G70)-4)</f>
        <v/>
      </c>
      <c r="D70" s="134" t="str">
        <f>IF('Line 1'!K73="","",ROUND('Line 1'!K73,0))</f>
        <v/>
      </c>
      <c r="E70" s="134" t="str">
        <f>IF('Line 2'!K73="","",ROUND('Line 2'!K73,0))</f>
        <v/>
      </c>
      <c r="F70" s="134" t="str">
        <f>IF('Line 3'!K73="","",ROUND('Line 3'!K73,0))</f>
        <v/>
      </c>
      <c r="G70" s="134" t="str">
        <f>IF('Line 4'!K73="","",ROUND('Line 4'!K73,0))</f>
        <v/>
      </c>
      <c r="H70" s="134" t="str">
        <f>IF('Line 5'!K73="","",ROUND('Line 5'!K73,0))</f>
        <v/>
      </c>
      <c r="I70" s="134" t="str">
        <f>IF('Line 6'!K73="","",ROUND('Line 6'!K73,0))</f>
        <v/>
      </c>
      <c r="J70" s="134" t="str">
        <f>IF('Line 7'!K73="","",ROUND('Line 7'!K73,0))</f>
        <v/>
      </c>
      <c r="K70" s="135" t="str">
        <f>IF('Line 8'!K73="","",ROUND('Line 8'!K73,0))</f>
        <v/>
      </c>
    </row>
    <row r="71" spans="1:11" x14ac:dyDescent="0.2">
      <c r="A71" s="126" t="str">
        <f t="shared" si="6"/>
        <v/>
      </c>
      <c r="B71" s="127" t="str">
        <f t="shared" si="7"/>
        <v/>
      </c>
      <c r="C71" s="127" t="str">
        <f t="shared" si="8"/>
        <v/>
      </c>
      <c r="D71" s="134" t="str">
        <f>IF('Line 1'!K74="","",ROUND('Line 1'!K74,0))</f>
        <v/>
      </c>
      <c r="E71" s="134" t="str">
        <f>IF('Line 2'!K74="","",ROUND('Line 2'!K74,0))</f>
        <v/>
      </c>
      <c r="F71" s="134" t="str">
        <f>IF('Line 3'!K74="","",ROUND('Line 3'!K74,0))</f>
        <v/>
      </c>
      <c r="G71" s="134" t="str">
        <f>IF('Line 4'!K74="","",ROUND('Line 4'!K74,0))</f>
        <v/>
      </c>
      <c r="H71" s="134" t="str">
        <f>IF('Line 5'!K74="","",ROUND('Line 5'!K74,0))</f>
        <v/>
      </c>
      <c r="I71" s="134" t="str">
        <f>IF('Line 6'!K74="","",ROUND('Line 6'!K74,0))</f>
        <v/>
      </c>
      <c r="J71" s="134" t="str">
        <f>IF('Line 7'!K74="","",ROUND('Line 7'!K74,0))</f>
        <v/>
      </c>
      <c r="K71" s="135" t="str">
        <f>IF('Line 8'!K74="","",ROUND('Line 8'!K74,0))</f>
        <v/>
      </c>
    </row>
    <row r="72" spans="1:11" x14ac:dyDescent="0.2">
      <c r="A72" s="126" t="str">
        <f t="shared" si="6"/>
        <v/>
      </c>
      <c r="B72" s="127" t="str">
        <f t="shared" si="7"/>
        <v/>
      </c>
      <c r="C72" s="127" t="str">
        <f t="shared" si="8"/>
        <v/>
      </c>
      <c r="D72" s="134" t="str">
        <f>IF('Line 1'!K75="","",ROUND('Line 1'!K75,0))</f>
        <v/>
      </c>
      <c r="E72" s="134" t="str">
        <f>IF('Line 2'!K75="","",ROUND('Line 2'!K75,0))</f>
        <v/>
      </c>
      <c r="F72" s="134" t="str">
        <f>IF('Line 3'!K75="","",ROUND('Line 3'!K75,0))</f>
        <v/>
      </c>
      <c r="G72" s="134" t="str">
        <f>IF('Line 4'!K75="","",ROUND('Line 4'!K75,0))</f>
        <v/>
      </c>
      <c r="H72" s="134" t="str">
        <f>IF('Line 5'!K75="","",ROUND('Line 5'!K75,0))</f>
        <v/>
      </c>
      <c r="I72" s="134" t="str">
        <f>IF('Line 6'!K75="","",ROUND('Line 6'!K75,0))</f>
        <v/>
      </c>
      <c r="J72" s="134" t="str">
        <f>IF('Line 7'!K75="","",ROUND('Line 7'!K75,0))</f>
        <v/>
      </c>
      <c r="K72" s="135" t="str">
        <f>IF('Line 8'!K75="","",ROUND('Line 8'!K75,0))</f>
        <v/>
      </c>
    </row>
    <row r="73" spans="1:11" x14ac:dyDescent="0.2">
      <c r="A73" s="126" t="str">
        <f t="shared" si="6"/>
        <v/>
      </c>
      <c r="B73" s="127" t="str">
        <f t="shared" si="7"/>
        <v/>
      </c>
      <c r="C73" s="127" t="str">
        <f t="shared" si="8"/>
        <v/>
      </c>
      <c r="D73" s="134" t="str">
        <f>IF('Line 1'!K76="","",ROUND('Line 1'!K76,0))</f>
        <v/>
      </c>
      <c r="E73" s="134" t="str">
        <f>IF('Line 2'!K76="","",ROUND('Line 2'!K76,0))</f>
        <v/>
      </c>
      <c r="F73" s="134" t="str">
        <f>IF('Line 3'!K76="","",ROUND('Line 3'!K76,0))</f>
        <v/>
      </c>
      <c r="G73" s="134" t="str">
        <f>IF('Line 4'!K76="","",ROUND('Line 4'!K76,0))</f>
        <v/>
      </c>
      <c r="H73" s="134" t="str">
        <f>IF('Line 5'!K76="","",ROUND('Line 5'!K76,0))</f>
        <v/>
      </c>
      <c r="I73" s="134" t="str">
        <f>IF('Line 6'!K76="","",ROUND('Line 6'!K76,0))</f>
        <v/>
      </c>
      <c r="J73" s="134" t="str">
        <f>IF('Line 7'!K76="","",ROUND('Line 7'!K76,0))</f>
        <v/>
      </c>
      <c r="K73" s="135" t="str">
        <f>IF('Line 8'!K76="","",ROUND('Line 8'!K76,0))</f>
        <v/>
      </c>
    </row>
    <row r="74" spans="1:11" x14ac:dyDescent="0.2">
      <c r="A74" s="126" t="str">
        <f t="shared" si="6"/>
        <v/>
      </c>
      <c r="B74" s="127" t="str">
        <f t="shared" si="7"/>
        <v/>
      </c>
      <c r="C74" s="127" t="str">
        <f t="shared" si="8"/>
        <v/>
      </c>
      <c r="D74" s="134" t="str">
        <f>IF('Line 1'!K77="","",ROUND('Line 1'!K77,0))</f>
        <v/>
      </c>
      <c r="E74" s="134" t="str">
        <f>IF('Line 2'!K77="","",ROUND('Line 2'!K77,0))</f>
        <v/>
      </c>
      <c r="F74" s="134" t="str">
        <f>IF('Line 3'!K77="","",ROUND('Line 3'!K77,0))</f>
        <v/>
      </c>
      <c r="G74" s="134" t="str">
        <f>IF('Line 4'!K77="","",ROUND('Line 4'!K77,0))</f>
        <v/>
      </c>
      <c r="H74" s="134" t="str">
        <f>IF('Line 5'!K77="","",ROUND('Line 5'!K77,0))</f>
        <v/>
      </c>
      <c r="I74" s="134" t="str">
        <f>IF('Line 6'!K77="","",ROUND('Line 6'!K77,0))</f>
        <v/>
      </c>
      <c r="J74" s="134" t="str">
        <f>IF('Line 7'!K77="","",ROUND('Line 7'!K77,0))</f>
        <v/>
      </c>
      <c r="K74" s="135" t="str">
        <f>IF('Line 8'!K77="","",ROUND('Line 8'!K77,0))</f>
        <v/>
      </c>
    </row>
    <row r="75" spans="1:11" x14ac:dyDescent="0.2">
      <c r="A75" s="126" t="str">
        <f t="shared" si="6"/>
        <v/>
      </c>
      <c r="B75" s="127" t="str">
        <f t="shared" si="7"/>
        <v/>
      </c>
      <c r="C75" s="127" t="str">
        <f t="shared" si="8"/>
        <v/>
      </c>
      <c r="D75" s="134" t="str">
        <f>IF('Line 1'!K78="","",ROUND('Line 1'!K78,0))</f>
        <v/>
      </c>
      <c r="E75" s="134" t="str">
        <f>IF('Line 2'!K78="","",ROUND('Line 2'!K78,0))</f>
        <v/>
      </c>
      <c r="F75" s="134" t="str">
        <f>IF('Line 3'!K78="","",ROUND('Line 3'!K78,0))</f>
        <v/>
      </c>
      <c r="G75" s="134" t="str">
        <f>IF('Line 4'!K78="","",ROUND('Line 4'!K78,0))</f>
        <v/>
      </c>
      <c r="H75" s="134" t="str">
        <f>IF('Line 5'!K78="","",ROUND('Line 5'!K78,0))</f>
        <v/>
      </c>
      <c r="I75" s="134" t="str">
        <f>IF('Line 6'!K78="","",ROUND('Line 6'!K78,0))</f>
        <v/>
      </c>
      <c r="J75" s="134" t="str">
        <f>IF('Line 7'!K78="","",ROUND('Line 7'!K78,0))</f>
        <v/>
      </c>
      <c r="K75" s="135" t="str">
        <f>IF('Line 8'!K78="","",ROUND('Line 8'!K78,0))</f>
        <v/>
      </c>
    </row>
    <row r="76" spans="1:11" x14ac:dyDescent="0.2">
      <c r="A76" s="126" t="str">
        <f t="shared" si="6"/>
        <v/>
      </c>
      <c r="B76" s="127" t="str">
        <f t="shared" si="7"/>
        <v/>
      </c>
      <c r="C76" s="127" t="str">
        <f t="shared" si="8"/>
        <v/>
      </c>
      <c r="D76" s="134" t="str">
        <f>IF('Line 1'!K79="","",ROUND('Line 1'!K79,0))</f>
        <v/>
      </c>
      <c r="E76" s="134" t="str">
        <f>IF('Line 2'!K79="","",ROUND('Line 2'!K79,0))</f>
        <v/>
      </c>
      <c r="F76" s="134" t="str">
        <f>IF('Line 3'!K79="","",ROUND('Line 3'!K79,0))</f>
        <v/>
      </c>
      <c r="G76" s="134" t="str">
        <f>IF('Line 4'!K79="","",ROUND('Line 4'!K79,0))</f>
        <v/>
      </c>
      <c r="H76" s="134" t="str">
        <f>IF('Line 5'!K79="","",ROUND('Line 5'!K79,0))</f>
        <v/>
      </c>
      <c r="I76" s="134" t="str">
        <f>IF('Line 6'!K79="","",ROUND('Line 6'!K79,0))</f>
        <v/>
      </c>
      <c r="J76" s="134" t="str">
        <f>IF('Line 7'!K79="","",ROUND('Line 7'!K79,0))</f>
        <v/>
      </c>
      <c r="K76" s="135" t="str">
        <f>IF('Line 8'!K79="","",ROUND('Line 8'!K79,0))</f>
        <v/>
      </c>
    </row>
    <row r="77" spans="1:11" x14ac:dyDescent="0.2">
      <c r="A77" s="126" t="str">
        <f t="shared" si="6"/>
        <v/>
      </c>
      <c r="B77" s="127" t="str">
        <f t="shared" si="7"/>
        <v/>
      </c>
      <c r="C77" s="127" t="str">
        <f t="shared" si="8"/>
        <v/>
      </c>
      <c r="D77" s="134" t="str">
        <f>IF('Line 1'!K80="","",ROUND('Line 1'!K80,0))</f>
        <v/>
      </c>
      <c r="E77" s="134" t="str">
        <f>IF('Line 2'!K80="","",ROUND('Line 2'!K80,0))</f>
        <v/>
      </c>
      <c r="F77" s="134" t="str">
        <f>IF('Line 3'!K80="","",ROUND('Line 3'!K80,0))</f>
        <v/>
      </c>
      <c r="G77" s="134" t="str">
        <f>IF('Line 4'!K80="","",ROUND('Line 4'!K80,0))</f>
        <v/>
      </c>
      <c r="H77" s="134" t="str">
        <f>IF('Line 5'!K80="","",ROUND('Line 5'!K80,0))</f>
        <v/>
      </c>
      <c r="I77" s="134" t="str">
        <f>IF('Line 6'!K80="","",ROUND('Line 6'!K80,0))</f>
        <v/>
      </c>
      <c r="J77" s="134" t="str">
        <f>IF('Line 7'!K80="","",ROUND('Line 7'!K80,0))</f>
        <v/>
      </c>
      <c r="K77" s="135" t="str">
        <f>IF('Line 8'!K80="","",ROUND('Line 8'!K80,0))</f>
        <v/>
      </c>
    </row>
    <row r="78" spans="1:11" x14ac:dyDescent="0.2">
      <c r="A78" s="126" t="str">
        <f t="shared" si="6"/>
        <v/>
      </c>
      <c r="B78" s="127" t="str">
        <f t="shared" si="7"/>
        <v/>
      </c>
      <c r="C78" s="127" t="str">
        <f t="shared" si="8"/>
        <v/>
      </c>
      <c r="D78" s="134" t="str">
        <f>IF('Line 1'!K81="","",ROUND('Line 1'!K81,0))</f>
        <v/>
      </c>
      <c r="E78" s="134" t="str">
        <f>IF('Line 2'!K81="","",ROUND('Line 2'!K81,0))</f>
        <v/>
      </c>
      <c r="F78" s="134" t="str">
        <f>IF('Line 3'!K81="","",ROUND('Line 3'!K81,0))</f>
        <v/>
      </c>
      <c r="G78" s="134" t="str">
        <f>IF('Line 4'!K81="","",ROUND('Line 4'!K81,0))</f>
        <v/>
      </c>
      <c r="H78" s="134" t="str">
        <f>IF('Line 5'!K81="","",ROUND('Line 5'!K81,0))</f>
        <v/>
      </c>
      <c r="I78" s="134" t="str">
        <f>IF('Line 6'!K81="","",ROUND('Line 6'!K81,0))</f>
        <v/>
      </c>
      <c r="J78" s="134" t="str">
        <f>IF('Line 7'!K81="","",ROUND('Line 7'!K81,0))</f>
        <v/>
      </c>
      <c r="K78" s="135" t="str">
        <f>IF('Line 8'!K81="","",ROUND('Line 8'!K81,0))</f>
        <v/>
      </c>
    </row>
    <row r="79" spans="1:11" x14ac:dyDescent="0.2">
      <c r="A79" s="126" t="str">
        <f t="shared" si="6"/>
        <v/>
      </c>
      <c r="B79" s="127" t="str">
        <f t="shared" si="7"/>
        <v/>
      </c>
      <c r="C79" s="127" t="str">
        <f t="shared" si="8"/>
        <v/>
      </c>
      <c r="D79" s="134" t="str">
        <f>IF('Line 1'!K82="","",ROUND('Line 1'!K82,0))</f>
        <v/>
      </c>
      <c r="E79" s="134" t="str">
        <f>IF('Line 2'!K82="","",ROUND('Line 2'!K82,0))</f>
        <v/>
      </c>
      <c r="F79" s="134" t="str">
        <f>IF('Line 3'!K82="","",ROUND('Line 3'!K82,0))</f>
        <v/>
      </c>
      <c r="G79" s="134" t="str">
        <f>IF('Line 4'!K82="","",ROUND('Line 4'!K82,0))</f>
        <v/>
      </c>
      <c r="H79" s="134" t="str">
        <f>IF('Line 5'!K82="","",ROUND('Line 5'!K82,0))</f>
        <v/>
      </c>
      <c r="I79" s="134" t="str">
        <f>IF('Line 6'!K82="","",ROUND('Line 6'!K82,0))</f>
        <v/>
      </c>
      <c r="J79" s="134" t="str">
        <f>IF('Line 7'!K82="","",ROUND('Line 7'!K82,0))</f>
        <v/>
      </c>
      <c r="K79" s="135" t="str">
        <f>IF('Line 8'!K82="","",ROUND('Line 8'!K82,0))</f>
        <v/>
      </c>
    </row>
    <row r="80" spans="1:11" x14ac:dyDescent="0.2">
      <c r="A80" s="126" t="str">
        <f t="shared" si="6"/>
        <v/>
      </c>
      <c r="B80" s="127" t="str">
        <f t="shared" si="7"/>
        <v/>
      </c>
      <c r="C80" s="127" t="str">
        <f t="shared" si="8"/>
        <v/>
      </c>
      <c r="D80" s="134" t="str">
        <f>IF('Line 1'!K83="","",ROUND('Line 1'!K83,0))</f>
        <v/>
      </c>
      <c r="E80" s="134" t="str">
        <f>IF('Line 2'!K83="","",ROUND('Line 2'!K83,0))</f>
        <v/>
      </c>
      <c r="F80" s="134" t="str">
        <f>IF('Line 3'!K83="","",ROUND('Line 3'!K83,0))</f>
        <v/>
      </c>
      <c r="G80" s="134" t="str">
        <f>IF('Line 4'!K83="","",ROUND('Line 4'!K83,0))</f>
        <v/>
      </c>
      <c r="H80" s="134" t="str">
        <f>IF('Line 5'!K83="","",ROUND('Line 5'!K83,0))</f>
        <v/>
      </c>
      <c r="I80" s="134" t="str">
        <f>IF('Line 6'!K83="","",ROUND('Line 6'!K83,0))</f>
        <v/>
      </c>
      <c r="J80" s="134" t="str">
        <f>IF('Line 7'!K83="","",ROUND('Line 7'!K83,0))</f>
        <v/>
      </c>
      <c r="K80" s="135" t="str">
        <f>IF('Line 8'!K83="","",ROUND('Line 8'!K83,0))</f>
        <v/>
      </c>
    </row>
    <row r="81" spans="1:11" x14ac:dyDescent="0.2">
      <c r="A81" s="126" t="str">
        <f t="shared" si="6"/>
        <v/>
      </c>
      <c r="B81" s="127" t="str">
        <f t="shared" si="7"/>
        <v/>
      </c>
      <c r="C81" s="127" t="str">
        <f t="shared" si="8"/>
        <v/>
      </c>
      <c r="D81" s="134" t="str">
        <f>IF('Line 1'!K84="","",ROUND('Line 1'!K84,0))</f>
        <v/>
      </c>
      <c r="E81" s="134" t="str">
        <f>IF('Line 2'!K84="","",ROUND('Line 2'!K84,0))</f>
        <v/>
      </c>
      <c r="F81" s="134" t="str">
        <f>IF('Line 3'!K84="","",ROUND('Line 3'!K84,0))</f>
        <v/>
      </c>
      <c r="G81" s="134" t="str">
        <f>IF('Line 4'!K84="","",ROUND('Line 4'!K84,0))</f>
        <v/>
      </c>
      <c r="H81" s="134" t="str">
        <f>IF('Line 5'!K84="","",ROUND('Line 5'!K84,0))</f>
        <v/>
      </c>
      <c r="I81" s="134" t="str">
        <f>IF('Line 6'!K84="","",ROUND('Line 6'!K84,0))</f>
        <v/>
      </c>
      <c r="J81" s="134" t="str">
        <f>IF('Line 7'!K84="","",ROUND('Line 7'!K84,0))</f>
        <v/>
      </c>
      <c r="K81" s="135" t="str">
        <f>IF('Line 8'!K84="","",ROUND('Line 8'!K84,0))</f>
        <v/>
      </c>
    </row>
    <row r="82" spans="1:11" x14ac:dyDescent="0.2">
      <c r="A82" s="126" t="str">
        <f t="shared" si="6"/>
        <v/>
      </c>
      <c r="B82" s="127" t="str">
        <f t="shared" si="7"/>
        <v/>
      </c>
      <c r="C82" s="127" t="str">
        <f t="shared" si="8"/>
        <v/>
      </c>
      <c r="D82" s="134" t="str">
        <f>IF('Line 1'!K85="","",ROUND('Line 1'!K85,0))</f>
        <v/>
      </c>
      <c r="E82" s="134" t="str">
        <f>IF('Line 2'!K85="","",ROUND('Line 2'!K85,0))</f>
        <v/>
      </c>
      <c r="F82" s="134" t="str">
        <f>IF('Line 3'!K85="","",ROUND('Line 3'!K85,0))</f>
        <v/>
      </c>
      <c r="G82" s="134" t="str">
        <f>IF('Line 4'!K85="","",ROUND('Line 4'!K85,0))</f>
        <v/>
      </c>
      <c r="H82" s="134" t="str">
        <f>IF('Line 5'!K85="","",ROUND('Line 5'!K85,0))</f>
        <v/>
      </c>
      <c r="I82" s="134" t="str">
        <f>IF('Line 6'!K85="","",ROUND('Line 6'!K85,0))</f>
        <v/>
      </c>
      <c r="J82" s="134" t="str">
        <f>IF('Line 7'!K85="","",ROUND('Line 7'!K85,0))</f>
        <v/>
      </c>
      <c r="K82" s="135" t="str">
        <f>IF('Line 8'!K85="","",ROUND('Line 8'!K85,0))</f>
        <v/>
      </c>
    </row>
    <row r="83" spans="1:11" x14ac:dyDescent="0.2">
      <c r="A83" s="126" t="str">
        <f t="shared" si="6"/>
        <v/>
      </c>
      <c r="B83" s="127" t="str">
        <f t="shared" si="7"/>
        <v/>
      </c>
      <c r="C83" s="127" t="str">
        <f t="shared" si="8"/>
        <v/>
      </c>
      <c r="D83" s="134" t="str">
        <f>IF('Line 1'!K86="","",ROUND('Line 1'!K86,0))</f>
        <v/>
      </c>
      <c r="E83" s="134" t="str">
        <f>IF('Line 2'!K86="","",ROUND('Line 2'!K86,0))</f>
        <v/>
      </c>
      <c r="F83" s="134" t="str">
        <f>IF('Line 3'!K86="","",ROUND('Line 3'!K86,0))</f>
        <v/>
      </c>
      <c r="G83" s="134" t="str">
        <f>IF('Line 4'!K86="","",ROUND('Line 4'!K86,0))</f>
        <v/>
      </c>
      <c r="H83" s="134" t="str">
        <f>IF('Line 5'!K86="","",ROUND('Line 5'!K86,0))</f>
        <v/>
      </c>
      <c r="I83" s="134" t="str">
        <f>IF('Line 6'!K86="","",ROUND('Line 6'!K86,0))</f>
        <v/>
      </c>
      <c r="J83" s="134" t="str">
        <f>IF('Line 7'!K86="","",ROUND('Line 7'!K86,0))</f>
        <v/>
      </c>
      <c r="K83" s="135" t="str">
        <f>IF('Line 8'!K86="","",ROUND('Line 8'!K86,0))</f>
        <v/>
      </c>
    </row>
    <row r="84" spans="1:11" x14ac:dyDescent="0.2">
      <c r="A84" s="126" t="str">
        <f t="shared" si="6"/>
        <v/>
      </c>
      <c r="B84" s="127" t="str">
        <f t="shared" si="7"/>
        <v/>
      </c>
      <c r="C84" s="127" t="str">
        <f t="shared" si="8"/>
        <v/>
      </c>
      <c r="D84" s="134" t="str">
        <f>IF('Line 1'!K87="","",ROUND('Line 1'!K87,0))</f>
        <v/>
      </c>
      <c r="E84" s="134" t="str">
        <f>IF('Line 2'!K87="","",ROUND('Line 2'!K87,0))</f>
        <v/>
      </c>
      <c r="F84" s="134" t="str">
        <f>IF('Line 3'!K87="","",ROUND('Line 3'!K87,0))</f>
        <v/>
      </c>
      <c r="G84" s="134" t="str">
        <f>IF('Line 4'!K87="","",ROUND('Line 4'!K87,0))</f>
        <v/>
      </c>
      <c r="H84" s="134" t="str">
        <f>IF('Line 5'!K87="","",ROUND('Line 5'!K87,0))</f>
        <v/>
      </c>
      <c r="I84" s="134" t="str">
        <f>IF('Line 6'!K87="","",ROUND('Line 6'!K87,0))</f>
        <v/>
      </c>
      <c r="J84" s="134" t="str">
        <f>IF('Line 7'!K87="","",ROUND('Line 7'!K87,0))</f>
        <v/>
      </c>
      <c r="K84" s="135" t="str">
        <f>IF('Line 8'!K87="","",ROUND('Line 8'!K87,0))</f>
        <v/>
      </c>
    </row>
    <row r="85" spans="1:11" x14ac:dyDescent="0.2">
      <c r="A85" s="126" t="str">
        <f t="shared" si="6"/>
        <v/>
      </c>
      <c r="B85" s="127" t="str">
        <f t="shared" si="7"/>
        <v/>
      </c>
      <c r="C85" s="127" t="str">
        <f t="shared" si="8"/>
        <v/>
      </c>
      <c r="D85" s="134" t="str">
        <f>IF('Line 1'!K88="","",ROUND('Line 1'!K88,0))</f>
        <v/>
      </c>
      <c r="E85" s="134" t="str">
        <f>IF('Line 2'!K88="","",ROUND('Line 2'!K88,0))</f>
        <v/>
      </c>
      <c r="F85" s="134" t="str">
        <f>IF('Line 3'!K88="","",ROUND('Line 3'!K88,0))</f>
        <v/>
      </c>
      <c r="G85" s="134" t="str">
        <f>IF('Line 4'!K88="","",ROUND('Line 4'!K88,0))</f>
        <v/>
      </c>
      <c r="H85" s="134" t="str">
        <f>IF('Line 5'!K88="","",ROUND('Line 5'!K88,0))</f>
        <v/>
      </c>
      <c r="I85" s="134" t="str">
        <f>IF('Line 6'!K88="","",ROUND('Line 6'!K88,0))</f>
        <v/>
      </c>
      <c r="J85" s="134" t="str">
        <f>IF('Line 7'!K88="","",ROUND('Line 7'!K88,0))</f>
        <v/>
      </c>
      <c r="K85" s="135" t="str">
        <f>IF('Line 8'!K88="","",ROUND('Line 8'!K88,0))</f>
        <v/>
      </c>
    </row>
    <row r="86" spans="1:11" x14ac:dyDescent="0.2">
      <c r="A86" s="126" t="str">
        <f t="shared" si="6"/>
        <v/>
      </c>
      <c r="B86" s="127" t="str">
        <f t="shared" si="7"/>
        <v/>
      </c>
      <c r="C86" s="127" t="str">
        <f t="shared" si="8"/>
        <v/>
      </c>
      <c r="D86" s="134" t="str">
        <f>IF('Line 1'!K89="","",ROUND('Line 1'!K89,0))</f>
        <v/>
      </c>
      <c r="E86" s="134" t="str">
        <f>IF('Line 2'!K89="","",ROUND('Line 2'!K89,0))</f>
        <v/>
      </c>
      <c r="F86" s="134" t="str">
        <f>IF('Line 3'!K89="","",ROUND('Line 3'!K89,0))</f>
        <v/>
      </c>
      <c r="G86" s="134" t="str">
        <f>IF('Line 4'!K89="","",ROUND('Line 4'!K89,0))</f>
        <v/>
      </c>
      <c r="H86" s="134" t="str">
        <f>IF('Line 5'!K89="","",ROUND('Line 5'!K89,0))</f>
        <v/>
      </c>
      <c r="I86" s="134" t="str">
        <f>IF('Line 6'!K89="","",ROUND('Line 6'!K89,0))</f>
        <v/>
      </c>
      <c r="J86" s="134" t="str">
        <f>IF('Line 7'!K89="","",ROUND('Line 7'!K89,0))</f>
        <v/>
      </c>
      <c r="K86" s="135" t="str">
        <f>IF('Line 8'!K89="","",ROUND('Line 8'!K89,0))</f>
        <v/>
      </c>
    </row>
    <row r="87" spans="1:11" x14ac:dyDescent="0.2">
      <c r="A87" s="126" t="str">
        <f t="shared" si="6"/>
        <v/>
      </c>
      <c r="B87" s="127" t="str">
        <f t="shared" si="7"/>
        <v/>
      </c>
      <c r="C87" s="127" t="str">
        <f t="shared" si="8"/>
        <v/>
      </c>
      <c r="D87" s="134" t="str">
        <f>IF('Line 1'!K90="","",ROUND('Line 1'!K90,0))</f>
        <v/>
      </c>
      <c r="E87" s="134" t="str">
        <f>IF('Line 2'!K90="","",ROUND('Line 2'!K90,0))</f>
        <v/>
      </c>
      <c r="F87" s="134" t="str">
        <f>IF('Line 3'!K90="","",ROUND('Line 3'!K90,0))</f>
        <v/>
      </c>
      <c r="G87" s="134" t="str">
        <f>IF('Line 4'!K90="","",ROUND('Line 4'!K90,0))</f>
        <v/>
      </c>
      <c r="H87" s="134" t="str">
        <f>IF('Line 5'!K90="","",ROUND('Line 5'!K90,0))</f>
        <v/>
      </c>
      <c r="I87" s="134" t="str">
        <f>IF('Line 6'!K90="","",ROUND('Line 6'!K90,0))</f>
        <v/>
      </c>
      <c r="J87" s="134" t="str">
        <f>IF('Line 7'!K90="","",ROUND('Line 7'!K90,0))</f>
        <v/>
      </c>
      <c r="K87" s="135" t="str">
        <f>IF('Line 8'!K90="","",ROUND('Line 8'!K90,0))</f>
        <v/>
      </c>
    </row>
    <row r="88" spans="1:11" x14ac:dyDescent="0.2">
      <c r="A88" s="126" t="str">
        <f t="shared" si="6"/>
        <v/>
      </c>
      <c r="B88" s="127" t="str">
        <f t="shared" si="7"/>
        <v/>
      </c>
      <c r="C88" s="127" t="str">
        <f t="shared" si="8"/>
        <v/>
      </c>
      <c r="D88" s="134" t="str">
        <f>IF('Line 1'!K91="","",ROUND('Line 1'!K91,0))</f>
        <v/>
      </c>
      <c r="E88" s="134" t="str">
        <f>IF('Line 2'!K91="","",ROUND('Line 2'!K91,0))</f>
        <v/>
      </c>
      <c r="F88" s="134" t="str">
        <f>IF('Line 3'!K91="","",ROUND('Line 3'!K91,0))</f>
        <v/>
      </c>
      <c r="G88" s="134" t="str">
        <f>IF('Line 4'!K91="","",ROUND('Line 4'!K91,0))</f>
        <v/>
      </c>
      <c r="H88" s="134" t="str">
        <f>IF('Line 5'!K91="","",ROUND('Line 5'!K91,0))</f>
        <v/>
      </c>
      <c r="I88" s="134" t="str">
        <f>IF('Line 6'!K91="","",ROUND('Line 6'!K91,0))</f>
        <v/>
      </c>
      <c r="J88" s="134" t="str">
        <f>IF('Line 7'!K91="","",ROUND('Line 7'!K91,0))</f>
        <v/>
      </c>
      <c r="K88" s="135" t="str">
        <f>IF('Line 8'!K91="","",ROUND('Line 8'!K91,0))</f>
        <v/>
      </c>
    </row>
    <row r="89" spans="1:11" x14ac:dyDescent="0.2">
      <c r="A89" s="126" t="str">
        <f t="shared" si="6"/>
        <v/>
      </c>
      <c r="B89" s="127" t="str">
        <f t="shared" si="7"/>
        <v/>
      </c>
      <c r="C89" s="127" t="str">
        <f t="shared" si="8"/>
        <v/>
      </c>
      <c r="D89" s="134" t="str">
        <f>IF('Line 1'!K92="","",ROUND('Line 1'!K92,0))</f>
        <v/>
      </c>
      <c r="E89" s="134" t="str">
        <f>IF('Line 2'!K92="","",ROUND('Line 2'!K92,0))</f>
        <v/>
      </c>
      <c r="F89" s="134" t="str">
        <f>IF('Line 3'!K92="","",ROUND('Line 3'!K92,0))</f>
        <v/>
      </c>
      <c r="G89" s="134" t="str">
        <f>IF('Line 4'!K92="","",ROUND('Line 4'!K92,0))</f>
        <v/>
      </c>
      <c r="H89" s="134" t="str">
        <f>IF('Line 5'!K92="","",ROUND('Line 5'!K92,0))</f>
        <v/>
      </c>
      <c r="I89" s="134" t="str">
        <f>IF('Line 6'!K92="","",ROUND('Line 6'!K92,0))</f>
        <v/>
      </c>
      <c r="J89" s="134" t="str">
        <f>IF('Line 7'!K92="","",ROUND('Line 7'!K92,0))</f>
        <v/>
      </c>
      <c r="K89" s="135" t="str">
        <f>IF('Line 8'!K92="","",ROUND('Line 8'!K92,0))</f>
        <v/>
      </c>
    </row>
    <row r="90" spans="1:11" x14ac:dyDescent="0.2">
      <c r="A90" s="126" t="str">
        <f t="shared" si="6"/>
        <v/>
      </c>
      <c r="B90" s="127" t="str">
        <f t="shared" si="7"/>
        <v/>
      </c>
      <c r="C90" s="127" t="str">
        <f t="shared" si="8"/>
        <v/>
      </c>
      <c r="D90" s="134" t="str">
        <f>IF('Line 1'!K93="","",ROUND('Line 1'!K93,0))</f>
        <v/>
      </c>
      <c r="E90" s="134" t="str">
        <f>IF('Line 2'!K93="","",ROUND('Line 2'!K93,0))</f>
        <v/>
      </c>
      <c r="F90" s="134" t="str">
        <f>IF('Line 3'!K93="","",ROUND('Line 3'!K93,0))</f>
        <v/>
      </c>
      <c r="G90" s="134" t="str">
        <f>IF('Line 4'!K93="","",ROUND('Line 4'!K93,0))</f>
        <v/>
      </c>
      <c r="H90" s="134" t="str">
        <f>IF('Line 5'!K93="","",ROUND('Line 5'!K93,0))</f>
        <v/>
      </c>
      <c r="I90" s="134" t="str">
        <f>IF('Line 6'!K93="","",ROUND('Line 6'!K93,0))</f>
        <v/>
      </c>
      <c r="J90" s="134" t="str">
        <f>IF('Line 7'!K93="","",ROUND('Line 7'!K93,0))</f>
        <v/>
      </c>
      <c r="K90" s="135" t="str">
        <f>IF('Line 8'!K93="","",ROUND('Line 8'!K93,0))</f>
        <v/>
      </c>
    </row>
    <row r="91" spans="1:11" x14ac:dyDescent="0.2">
      <c r="A91" s="126" t="str">
        <f t="shared" si="6"/>
        <v/>
      </c>
      <c r="B91" s="127" t="str">
        <f t="shared" si="7"/>
        <v/>
      </c>
      <c r="C91" s="127" t="str">
        <f t="shared" si="8"/>
        <v/>
      </c>
      <c r="D91" s="134" t="str">
        <f>IF('Line 1'!K94="","",ROUND('Line 1'!K94,0))</f>
        <v/>
      </c>
      <c r="E91" s="134" t="str">
        <f>IF('Line 2'!K94="","",ROUND('Line 2'!K94,0))</f>
        <v/>
      </c>
      <c r="F91" s="134" t="str">
        <f>IF('Line 3'!K94="","",ROUND('Line 3'!K94,0))</f>
        <v/>
      </c>
      <c r="G91" s="134" t="str">
        <f>IF('Line 4'!K94="","",ROUND('Line 4'!K94,0))</f>
        <v/>
      </c>
      <c r="H91" s="134" t="str">
        <f>IF('Line 5'!K94="","",ROUND('Line 5'!K94,0))</f>
        <v/>
      </c>
      <c r="I91" s="134" t="str">
        <f>IF('Line 6'!K94="","",ROUND('Line 6'!K94,0))</f>
        <v/>
      </c>
      <c r="J91" s="134" t="str">
        <f>IF('Line 7'!K94="","",ROUND('Line 7'!K94,0))</f>
        <v/>
      </c>
      <c r="K91" s="135" t="str">
        <f>IF('Line 8'!K94="","",ROUND('Line 8'!K94,0))</f>
        <v/>
      </c>
    </row>
    <row r="92" spans="1:11" x14ac:dyDescent="0.2">
      <c r="A92" s="126" t="str">
        <f t="shared" si="6"/>
        <v/>
      </c>
      <c r="B92" s="127" t="str">
        <f t="shared" si="7"/>
        <v/>
      </c>
      <c r="C92" s="127" t="str">
        <f t="shared" si="8"/>
        <v/>
      </c>
      <c r="D92" s="134" t="str">
        <f>IF('Line 1'!K95="","",ROUND('Line 1'!K95,0))</f>
        <v/>
      </c>
      <c r="E92" s="134" t="str">
        <f>IF('Line 2'!K95="","",ROUND('Line 2'!K95,0))</f>
        <v/>
      </c>
      <c r="F92" s="134" t="str">
        <f>IF('Line 3'!K95="","",ROUND('Line 3'!K95,0))</f>
        <v/>
      </c>
      <c r="G92" s="134" t="str">
        <f>IF('Line 4'!K95="","",ROUND('Line 4'!K95,0))</f>
        <v/>
      </c>
      <c r="H92" s="134" t="str">
        <f>IF('Line 5'!K95="","",ROUND('Line 5'!K95,0))</f>
        <v/>
      </c>
      <c r="I92" s="134" t="str">
        <f>IF('Line 6'!K95="","",ROUND('Line 6'!K95,0))</f>
        <v/>
      </c>
      <c r="J92" s="134" t="str">
        <f>IF('Line 7'!K95="","",ROUND('Line 7'!K95,0))</f>
        <v/>
      </c>
      <c r="K92" s="135" t="str">
        <f>IF('Line 8'!K95="","",ROUND('Line 8'!K95,0))</f>
        <v/>
      </c>
    </row>
    <row r="93" spans="1:11" x14ac:dyDescent="0.2">
      <c r="A93" s="126" t="str">
        <f t="shared" si="6"/>
        <v/>
      </c>
      <c r="B93" s="127" t="str">
        <f t="shared" si="7"/>
        <v/>
      </c>
      <c r="C93" s="127" t="str">
        <f t="shared" si="8"/>
        <v/>
      </c>
      <c r="D93" s="134" t="str">
        <f>IF('Line 1'!K96="","",ROUND('Line 1'!K96,0))</f>
        <v/>
      </c>
      <c r="E93" s="134" t="str">
        <f>IF('Line 2'!K96="","",ROUND('Line 2'!K96,0))</f>
        <v/>
      </c>
      <c r="F93" s="134" t="str">
        <f>IF('Line 3'!K96="","",ROUND('Line 3'!K96,0))</f>
        <v/>
      </c>
      <c r="G93" s="134" t="str">
        <f>IF('Line 4'!K96="","",ROUND('Line 4'!K96,0))</f>
        <v/>
      </c>
      <c r="H93" s="134" t="str">
        <f>IF('Line 5'!K96="","",ROUND('Line 5'!K96,0))</f>
        <v/>
      </c>
      <c r="I93" s="134" t="str">
        <f>IF('Line 6'!K96="","",ROUND('Line 6'!K96,0))</f>
        <v/>
      </c>
      <c r="J93" s="134" t="str">
        <f>IF('Line 7'!K96="","",ROUND('Line 7'!K96,0))</f>
        <v/>
      </c>
      <c r="K93" s="135" t="str">
        <f>IF('Line 8'!K96="","",ROUND('Line 8'!K96,0))</f>
        <v/>
      </c>
    </row>
    <row r="94" spans="1:11" x14ac:dyDescent="0.2">
      <c r="A94" s="126" t="str">
        <f t="shared" si="6"/>
        <v/>
      </c>
      <c r="B94" s="127" t="str">
        <f t="shared" si="7"/>
        <v/>
      </c>
      <c r="C94" s="127" t="str">
        <f t="shared" si="8"/>
        <v/>
      </c>
      <c r="D94" s="134" t="str">
        <f>IF('Line 1'!K97="","",ROUND('Line 1'!K97,0))</f>
        <v/>
      </c>
      <c r="E94" s="134" t="str">
        <f>IF('Line 2'!K97="","",ROUND('Line 2'!K97,0))</f>
        <v/>
      </c>
      <c r="F94" s="134" t="str">
        <f>IF('Line 3'!K97="","",ROUND('Line 3'!K97,0))</f>
        <v/>
      </c>
      <c r="G94" s="134" t="str">
        <f>IF('Line 4'!K97="","",ROUND('Line 4'!K97,0))</f>
        <v/>
      </c>
      <c r="H94" s="134" t="str">
        <f>IF('Line 5'!K97="","",ROUND('Line 5'!K97,0))</f>
        <v/>
      </c>
      <c r="I94" s="134" t="str">
        <f>IF('Line 6'!K97="","",ROUND('Line 6'!K97,0))</f>
        <v/>
      </c>
      <c r="J94" s="134" t="str">
        <f>IF('Line 7'!K97="","",ROUND('Line 7'!K97,0))</f>
        <v/>
      </c>
      <c r="K94" s="135" t="str">
        <f>IF('Line 8'!K97="","",ROUND('Line 8'!K97,0))</f>
        <v/>
      </c>
    </row>
    <row r="95" spans="1:11" x14ac:dyDescent="0.2">
      <c r="A95" s="126" t="str">
        <f t="shared" si="6"/>
        <v/>
      </c>
      <c r="B95" s="127" t="str">
        <f t="shared" si="7"/>
        <v/>
      </c>
      <c r="C95" s="127" t="str">
        <f t="shared" si="8"/>
        <v/>
      </c>
      <c r="D95" s="134" t="str">
        <f>IF('Line 1'!K98="","",ROUND('Line 1'!K98,0))</f>
        <v/>
      </c>
      <c r="E95" s="134" t="str">
        <f>IF('Line 2'!K98="","",ROUND('Line 2'!K98,0))</f>
        <v/>
      </c>
      <c r="F95" s="134" t="str">
        <f>IF('Line 3'!K98="","",ROUND('Line 3'!K98,0))</f>
        <v/>
      </c>
      <c r="G95" s="134" t="str">
        <f>IF('Line 4'!K98="","",ROUND('Line 4'!K98,0))</f>
        <v/>
      </c>
      <c r="H95" s="134" t="str">
        <f>IF('Line 5'!K98="","",ROUND('Line 5'!K98,0))</f>
        <v/>
      </c>
      <c r="I95" s="134" t="str">
        <f>IF('Line 6'!K98="","",ROUND('Line 6'!K98,0))</f>
        <v/>
      </c>
      <c r="J95" s="134" t="str">
        <f>IF('Line 7'!K98="","",ROUND('Line 7'!K98,0))</f>
        <v/>
      </c>
      <c r="K95" s="135" t="str">
        <f>IF('Line 8'!K98="","",ROUND('Line 8'!K98,0))</f>
        <v/>
      </c>
    </row>
    <row r="96" spans="1:11" x14ac:dyDescent="0.2">
      <c r="A96" s="126" t="str">
        <f t="shared" si="6"/>
        <v/>
      </c>
      <c r="B96" s="127" t="str">
        <f t="shared" si="7"/>
        <v/>
      </c>
      <c r="C96" s="127" t="str">
        <f t="shared" si="8"/>
        <v/>
      </c>
      <c r="D96" s="134" t="str">
        <f>IF('Line 1'!K99="","",ROUND('Line 1'!K99,0))</f>
        <v/>
      </c>
      <c r="E96" s="134" t="str">
        <f>IF('Line 2'!K99="","",ROUND('Line 2'!K99,0))</f>
        <v/>
      </c>
      <c r="F96" s="134" t="str">
        <f>IF('Line 3'!K99="","",ROUND('Line 3'!K99,0))</f>
        <v/>
      </c>
      <c r="G96" s="134" t="str">
        <f>IF('Line 4'!K99="","",ROUND('Line 4'!K99,0))</f>
        <v/>
      </c>
      <c r="H96" s="134" t="str">
        <f>IF('Line 5'!K99="","",ROUND('Line 5'!K99,0))</f>
        <v/>
      </c>
      <c r="I96" s="134" t="str">
        <f>IF('Line 6'!K99="","",ROUND('Line 6'!K99,0))</f>
        <v/>
      </c>
      <c r="J96" s="134" t="str">
        <f>IF('Line 7'!K99="","",ROUND('Line 7'!K99,0))</f>
        <v/>
      </c>
      <c r="K96" s="135" t="str">
        <f>IF('Line 8'!K99="","",ROUND('Line 8'!K99,0))</f>
        <v/>
      </c>
    </row>
    <row r="97" spans="1:11" x14ac:dyDescent="0.2">
      <c r="A97" s="126" t="str">
        <f t="shared" si="6"/>
        <v/>
      </c>
      <c r="B97" s="127" t="str">
        <f t="shared" si="7"/>
        <v/>
      </c>
      <c r="C97" s="127" t="str">
        <f t="shared" si="8"/>
        <v/>
      </c>
      <c r="D97" s="134" t="str">
        <f>IF('Line 1'!K100="","",ROUND('Line 1'!K100,0))</f>
        <v/>
      </c>
      <c r="E97" s="134" t="str">
        <f>IF('Line 2'!K100="","",ROUND('Line 2'!K100,0))</f>
        <v/>
      </c>
      <c r="F97" s="134" t="str">
        <f>IF('Line 3'!K100="","",ROUND('Line 3'!K100,0))</f>
        <v/>
      </c>
      <c r="G97" s="134" t="str">
        <f>IF('Line 4'!K100="","",ROUND('Line 4'!K100,0))</f>
        <v/>
      </c>
      <c r="H97" s="134" t="str">
        <f>IF('Line 5'!K100="","",ROUND('Line 5'!K100,0))</f>
        <v/>
      </c>
      <c r="I97" s="134" t="str">
        <f>IF('Line 6'!K100="","",ROUND('Line 6'!K100,0))</f>
        <v/>
      </c>
      <c r="J97" s="134" t="str">
        <f>IF('Line 7'!K100="","",ROUND('Line 7'!K100,0))</f>
        <v/>
      </c>
      <c r="K97" s="135" t="str">
        <f>IF('Line 8'!K100="","",ROUND('Line 8'!K100,0))</f>
        <v/>
      </c>
    </row>
    <row r="98" spans="1:11" x14ac:dyDescent="0.2">
      <c r="A98" s="126" t="str">
        <f t="shared" si="6"/>
        <v/>
      </c>
      <c r="B98" s="127" t="str">
        <f t="shared" si="7"/>
        <v/>
      </c>
      <c r="C98" s="127" t="str">
        <f t="shared" si="8"/>
        <v/>
      </c>
      <c r="D98" s="134" t="str">
        <f>IF('Line 1'!K101="","",ROUND('Line 1'!K101,0))</f>
        <v/>
      </c>
      <c r="E98" s="134" t="str">
        <f>IF('Line 2'!K101="","",ROUND('Line 2'!K101,0))</f>
        <v/>
      </c>
      <c r="F98" s="134" t="str">
        <f>IF('Line 3'!K101="","",ROUND('Line 3'!K101,0))</f>
        <v/>
      </c>
      <c r="G98" s="134" t="str">
        <f>IF('Line 4'!K101="","",ROUND('Line 4'!K101,0))</f>
        <v/>
      </c>
      <c r="H98" s="134" t="str">
        <f>IF('Line 5'!K101="","",ROUND('Line 5'!K101,0))</f>
        <v/>
      </c>
      <c r="I98" s="134" t="str">
        <f>IF('Line 6'!K101="","",ROUND('Line 6'!K101,0))</f>
        <v/>
      </c>
      <c r="J98" s="134" t="str">
        <f>IF('Line 7'!K101="","",ROUND('Line 7'!K101,0))</f>
        <v/>
      </c>
      <c r="K98" s="135" t="str">
        <f>IF('Line 8'!K101="","",ROUND('Line 8'!K101,0))</f>
        <v/>
      </c>
    </row>
    <row r="99" spans="1:11" x14ac:dyDescent="0.2">
      <c r="A99" s="126" t="str">
        <f t="shared" si="6"/>
        <v/>
      </c>
      <c r="B99" s="127" t="str">
        <f t="shared" si="7"/>
        <v/>
      </c>
      <c r="C99" s="127" t="str">
        <f t="shared" si="8"/>
        <v/>
      </c>
      <c r="D99" s="134" t="str">
        <f>IF('Line 1'!K102="","",ROUND('Line 1'!K102,0))</f>
        <v/>
      </c>
      <c r="E99" s="134" t="str">
        <f>IF('Line 2'!K102="","",ROUND('Line 2'!K102,0))</f>
        <v/>
      </c>
      <c r="F99" s="134" t="str">
        <f>IF('Line 3'!K102="","",ROUND('Line 3'!K102,0))</f>
        <v/>
      </c>
      <c r="G99" s="134" t="str">
        <f>IF('Line 4'!K102="","",ROUND('Line 4'!K102,0))</f>
        <v/>
      </c>
      <c r="H99" s="134" t="str">
        <f>IF('Line 5'!K102="","",ROUND('Line 5'!K102,0))</f>
        <v/>
      </c>
      <c r="I99" s="134" t="str">
        <f>IF('Line 6'!K102="","",ROUND('Line 6'!K102,0))</f>
        <v/>
      </c>
      <c r="J99" s="134" t="str">
        <f>IF('Line 7'!K102="","",ROUND('Line 7'!K102,0))</f>
        <v/>
      </c>
      <c r="K99" s="135" t="str">
        <f>IF('Line 8'!K102="","",ROUND('Line 8'!K102,0))</f>
        <v/>
      </c>
    </row>
    <row r="100" spans="1:11" x14ac:dyDescent="0.2">
      <c r="A100" s="126" t="str">
        <f t="shared" si="6"/>
        <v/>
      </c>
      <c r="B100" s="127" t="str">
        <f t="shared" si="7"/>
        <v/>
      </c>
      <c r="C100" s="127" t="str">
        <f t="shared" si="8"/>
        <v/>
      </c>
      <c r="D100" s="134" t="str">
        <f>IF('Line 1'!K103="","",ROUND('Line 1'!K103,0))</f>
        <v/>
      </c>
      <c r="E100" s="134" t="str">
        <f>IF('Line 2'!K103="","",ROUND('Line 2'!K103,0))</f>
        <v/>
      </c>
      <c r="F100" s="134" t="str">
        <f>IF('Line 3'!K103="","",ROUND('Line 3'!K103,0))</f>
        <v/>
      </c>
      <c r="G100" s="134" t="str">
        <f>IF('Line 4'!K103="","",ROUND('Line 4'!K103,0))</f>
        <v/>
      </c>
      <c r="H100" s="134" t="str">
        <f>IF('Line 5'!K103="","",ROUND('Line 5'!K103,0))</f>
        <v/>
      </c>
      <c r="I100" s="134" t="str">
        <f>IF('Line 6'!K103="","",ROUND('Line 6'!K103,0))</f>
        <v/>
      </c>
      <c r="J100" s="134" t="str">
        <f>IF('Line 7'!K103="","",ROUND('Line 7'!K103,0))</f>
        <v/>
      </c>
      <c r="K100" s="135" t="str">
        <f>IF('Line 8'!K103="","",ROUND('Line 8'!K103,0))</f>
        <v/>
      </c>
    </row>
    <row r="101" spans="1:11" x14ac:dyDescent="0.2">
      <c r="A101" s="126" t="str">
        <f t="shared" si="6"/>
        <v/>
      </c>
      <c r="B101" s="127" t="str">
        <f t="shared" si="7"/>
        <v/>
      </c>
      <c r="C101" s="127" t="str">
        <f t="shared" si="8"/>
        <v/>
      </c>
      <c r="D101" s="134" t="str">
        <f>IF('Line 1'!K104="","",ROUND('Line 1'!K104,0))</f>
        <v/>
      </c>
      <c r="E101" s="134" t="str">
        <f>IF('Line 2'!K104="","",ROUND('Line 2'!K104,0))</f>
        <v/>
      </c>
      <c r="F101" s="134" t="str">
        <f>IF('Line 3'!K104="","",ROUND('Line 3'!K104,0))</f>
        <v/>
      </c>
      <c r="G101" s="134" t="str">
        <f>IF('Line 4'!K104="","",ROUND('Line 4'!K104,0))</f>
        <v/>
      </c>
      <c r="H101" s="134" t="str">
        <f>IF('Line 5'!K104="","",ROUND('Line 5'!K104,0))</f>
        <v/>
      </c>
      <c r="I101" s="134" t="str">
        <f>IF('Line 6'!K104="","",ROUND('Line 6'!K104,0))</f>
        <v/>
      </c>
      <c r="J101" s="134" t="str">
        <f>IF('Line 7'!K104="","",ROUND('Line 7'!K104,0))</f>
        <v/>
      </c>
      <c r="K101" s="135" t="str">
        <f>IF('Line 8'!K104="","",ROUND('Line 8'!K104,0))</f>
        <v/>
      </c>
    </row>
    <row r="102" spans="1:11" x14ac:dyDescent="0.2">
      <c r="A102" s="126" t="str">
        <f t="shared" si="6"/>
        <v/>
      </c>
      <c r="B102" s="127" t="str">
        <f t="shared" si="7"/>
        <v/>
      </c>
      <c r="C102" s="127" t="str">
        <f t="shared" si="8"/>
        <v/>
      </c>
      <c r="D102" s="134" t="str">
        <f>IF('Line 1'!K105="","",ROUND('Line 1'!K105,0))</f>
        <v/>
      </c>
      <c r="E102" s="134" t="str">
        <f>IF('Line 2'!K105="","",ROUND('Line 2'!K105,0))</f>
        <v/>
      </c>
      <c r="F102" s="134" t="str">
        <f>IF('Line 3'!K105="","",ROUND('Line 3'!K105,0))</f>
        <v/>
      </c>
      <c r="G102" s="134" t="str">
        <f>IF('Line 4'!K105="","",ROUND('Line 4'!K105,0))</f>
        <v/>
      </c>
      <c r="H102" s="134" t="str">
        <f>IF('Line 5'!K105="","",ROUND('Line 5'!K105,0))</f>
        <v/>
      </c>
      <c r="I102" s="134" t="str">
        <f>IF('Line 6'!K105="","",ROUND('Line 6'!K105,0))</f>
        <v/>
      </c>
      <c r="J102" s="134" t="str">
        <f>IF('Line 7'!K105="","",ROUND('Line 7'!K105,0))</f>
        <v/>
      </c>
      <c r="K102" s="135" t="str">
        <f>IF('Line 8'!K105="","",ROUND('Line 8'!K105,0))</f>
        <v/>
      </c>
    </row>
    <row r="103" spans="1:11" x14ac:dyDescent="0.2">
      <c r="A103" s="126" t="str">
        <f t="shared" si="6"/>
        <v/>
      </c>
      <c r="B103" s="127" t="str">
        <f t="shared" si="7"/>
        <v/>
      </c>
      <c r="C103" s="127" t="str">
        <f t="shared" si="8"/>
        <v/>
      </c>
      <c r="D103" s="134" t="str">
        <f>IF('Line 1'!K106="","",ROUND('Line 1'!K106,0))</f>
        <v/>
      </c>
      <c r="E103" s="134" t="str">
        <f>IF('Line 2'!K106="","",ROUND('Line 2'!K106,0))</f>
        <v/>
      </c>
      <c r="F103" s="134" t="str">
        <f>IF('Line 3'!K106="","",ROUND('Line 3'!K106,0))</f>
        <v/>
      </c>
      <c r="G103" s="134" t="str">
        <f>IF('Line 4'!K106="","",ROUND('Line 4'!K106,0))</f>
        <v/>
      </c>
      <c r="H103" s="134" t="str">
        <f>IF('Line 5'!K106="","",ROUND('Line 5'!K106,0))</f>
        <v/>
      </c>
      <c r="I103" s="134" t="str">
        <f>IF('Line 6'!K106="","",ROUND('Line 6'!K106,0))</f>
        <v/>
      </c>
      <c r="J103" s="134" t="str">
        <f>IF('Line 7'!K106="","",ROUND('Line 7'!K106,0))</f>
        <v/>
      </c>
      <c r="K103" s="135" t="str">
        <f>IF('Line 8'!K106="","",ROUND('Line 8'!K106,0))</f>
        <v/>
      </c>
    </row>
    <row r="104" spans="1:11" x14ac:dyDescent="0.2">
      <c r="A104" s="126" t="str">
        <f t="shared" si="6"/>
        <v/>
      </c>
      <c r="B104" s="127" t="str">
        <f t="shared" si="7"/>
        <v/>
      </c>
      <c r="C104" s="127" t="str">
        <f t="shared" si="8"/>
        <v/>
      </c>
      <c r="D104" s="134" t="str">
        <f>IF('Line 1'!K107="","",ROUND('Line 1'!K107,0))</f>
        <v/>
      </c>
      <c r="E104" s="134" t="str">
        <f>IF('Line 2'!K107="","",ROUND('Line 2'!K107,0))</f>
        <v/>
      </c>
      <c r="F104" s="134" t="str">
        <f>IF('Line 3'!K107="","",ROUND('Line 3'!K107,0))</f>
        <v/>
      </c>
      <c r="G104" s="134" t="str">
        <f>IF('Line 4'!K107="","",ROUND('Line 4'!K107,0))</f>
        <v/>
      </c>
      <c r="H104" s="134" t="str">
        <f>IF('Line 5'!K107="","",ROUND('Line 5'!K107,0))</f>
        <v/>
      </c>
      <c r="I104" s="134" t="str">
        <f>IF('Line 6'!K107="","",ROUND('Line 6'!K107,0))</f>
        <v/>
      </c>
      <c r="J104" s="134" t="str">
        <f>IF('Line 7'!K107="","",ROUND('Line 7'!K107,0))</f>
        <v/>
      </c>
      <c r="K104" s="135" t="str">
        <f>IF('Line 8'!K107="","",ROUND('Line 8'!K107,0))</f>
        <v/>
      </c>
    </row>
    <row r="105" spans="1:11" hidden="1" x14ac:dyDescent="0.2">
      <c r="B105" s="127"/>
      <c r="C105" s="127"/>
      <c r="D105" s="134"/>
      <c r="E105" s="134"/>
      <c r="F105" s="134"/>
      <c r="G105" s="134"/>
      <c r="H105" s="134"/>
      <c r="I105" s="134"/>
      <c r="J105" s="134"/>
      <c r="K105" s="135"/>
    </row>
    <row r="106" spans="1:11" hidden="1" x14ac:dyDescent="0.2">
      <c r="B106" s="127"/>
      <c r="C106" s="127"/>
      <c r="D106" s="134"/>
      <c r="E106" s="134"/>
      <c r="F106" s="134"/>
      <c r="G106" s="134"/>
      <c r="H106" s="134"/>
      <c r="I106" s="134"/>
      <c r="J106" s="134"/>
      <c r="K106" s="135"/>
    </row>
    <row r="107" spans="1:11" hidden="1" x14ac:dyDescent="0.2">
      <c r="B107" s="127"/>
      <c r="C107" s="127"/>
      <c r="D107" s="134"/>
      <c r="E107" s="134"/>
      <c r="F107" s="134"/>
      <c r="G107" s="134"/>
      <c r="H107" s="134"/>
      <c r="I107" s="134"/>
      <c r="J107" s="134"/>
      <c r="K107" s="135"/>
    </row>
    <row r="108" spans="1:11" hidden="1" x14ac:dyDescent="0.2">
      <c r="B108" s="127"/>
      <c r="C108" s="127"/>
      <c r="D108" s="134"/>
      <c r="E108" s="134"/>
      <c r="F108" s="134"/>
      <c r="G108" s="134"/>
      <c r="H108" s="134"/>
      <c r="I108" s="134"/>
      <c r="J108" s="134"/>
      <c r="K108" s="135"/>
    </row>
    <row r="109" spans="1:11" hidden="1" x14ac:dyDescent="0.2">
      <c r="B109" s="127"/>
      <c r="C109" s="127"/>
      <c r="D109" s="134"/>
      <c r="E109" s="134"/>
      <c r="F109" s="134"/>
      <c r="G109" s="134"/>
      <c r="H109" s="134"/>
      <c r="I109" s="134"/>
      <c r="J109" s="134"/>
      <c r="K109" s="135"/>
    </row>
    <row r="110" spans="1:11" hidden="1" x14ac:dyDescent="0.2">
      <c r="B110" s="127"/>
      <c r="C110" s="127"/>
      <c r="D110" s="134"/>
      <c r="E110" s="134"/>
      <c r="F110" s="134"/>
      <c r="G110" s="134"/>
      <c r="H110" s="134"/>
      <c r="I110" s="134"/>
      <c r="J110" s="134"/>
      <c r="K110" s="135"/>
    </row>
    <row r="111" spans="1:11" hidden="1" x14ac:dyDescent="0.2">
      <c r="B111" s="127"/>
      <c r="C111" s="127"/>
      <c r="D111" s="134"/>
      <c r="E111" s="134"/>
      <c r="F111" s="134"/>
      <c r="G111" s="134"/>
      <c r="H111" s="134"/>
      <c r="I111" s="134"/>
      <c r="J111" s="134"/>
      <c r="K111" s="135"/>
    </row>
    <row r="112" spans="1:11" hidden="1" x14ac:dyDescent="0.2">
      <c r="B112" s="127"/>
      <c r="C112" s="127"/>
      <c r="D112" s="134"/>
      <c r="E112" s="134"/>
      <c r="F112" s="134"/>
      <c r="G112" s="134"/>
      <c r="H112" s="134"/>
      <c r="I112" s="134"/>
      <c r="J112" s="134"/>
      <c r="K112" s="135"/>
    </row>
    <row r="113" spans="2:11" hidden="1" x14ac:dyDescent="0.2">
      <c r="B113" s="127"/>
      <c r="C113" s="127"/>
      <c r="D113" s="134"/>
      <c r="E113" s="134"/>
      <c r="F113" s="134"/>
      <c r="G113" s="134"/>
      <c r="H113" s="134"/>
      <c r="I113" s="134"/>
      <c r="J113" s="134"/>
      <c r="K113" s="135"/>
    </row>
    <row r="114" spans="2:11" hidden="1" x14ac:dyDescent="0.2">
      <c r="B114" s="127"/>
      <c r="C114" s="127"/>
      <c r="D114" s="134"/>
      <c r="E114" s="134"/>
      <c r="F114" s="134"/>
      <c r="G114" s="134"/>
      <c r="H114" s="134"/>
      <c r="I114" s="134"/>
      <c r="J114" s="134"/>
      <c r="K114" s="135"/>
    </row>
    <row r="115" spans="2:11" hidden="1" x14ac:dyDescent="0.2">
      <c r="B115" s="127"/>
      <c r="C115" s="127"/>
      <c r="D115" s="134"/>
      <c r="E115" s="134"/>
      <c r="F115" s="134"/>
      <c r="G115" s="134"/>
      <c r="H115" s="134"/>
      <c r="I115" s="134"/>
      <c r="J115" s="134"/>
      <c r="K115" s="135"/>
    </row>
    <row r="116" spans="2:11" hidden="1" x14ac:dyDescent="0.2">
      <c r="B116" s="127"/>
      <c r="C116" s="127"/>
      <c r="D116" s="134"/>
      <c r="E116" s="134"/>
      <c r="F116" s="134"/>
      <c r="G116" s="134"/>
      <c r="H116" s="134"/>
      <c r="I116" s="134"/>
      <c r="J116" s="134"/>
      <c r="K116" s="135"/>
    </row>
    <row r="117" spans="2:11" hidden="1" x14ac:dyDescent="0.2">
      <c r="B117" s="127"/>
      <c r="C117" s="127"/>
      <c r="D117" s="134"/>
      <c r="E117" s="134"/>
      <c r="F117" s="134"/>
      <c r="G117" s="134"/>
      <c r="H117" s="134"/>
      <c r="I117" s="134"/>
      <c r="J117" s="134"/>
      <c r="K117" s="135"/>
    </row>
    <row r="118" spans="2:11" hidden="1" x14ac:dyDescent="0.2">
      <c r="B118" s="127"/>
      <c r="C118" s="127"/>
      <c r="D118" s="134"/>
      <c r="E118" s="134"/>
      <c r="F118" s="134"/>
      <c r="G118" s="134"/>
      <c r="H118" s="134"/>
      <c r="I118" s="134"/>
      <c r="J118" s="134"/>
      <c r="K118" s="135"/>
    </row>
    <row r="119" spans="2:11" hidden="1" x14ac:dyDescent="0.2">
      <c r="B119" s="127"/>
      <c r="C119" s="127"/>
      <c r="D119" s="134"/>
      <c r="E119" s="134"/>
      <c r="F119" s="134"/>
      <c r="G119" s="134"/>
      <c r="H119" s="134"/>
      <c r="I119" s="134"/>
      <c r="J119" s="134"/>
      <c r="K119" s="135"/>
    </row>
    <row r="120" spans="2:11" hidden="1" x14ac:dyDescent="0.2">
      <c r="B120" s="127"/>
      <c r="C120" s="127"/>
      <c r="D120" s="134"/>
      <c r="E120" s="134"/>
      <c r="F120" s="134"/>
      <c r="G120" s="134"/>
      <c r="H120" s="134"/>
      <c r="I120" s="134"/>
      <c r="J120" s="134"/>
      <c r="K120" s="135"/>
    </row>
  </sheetData>
  <sheetProtection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topLeftCell="A22" workbookViewId="0">
      <selection activeCell="I19" sqref="I19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5.140625" style="29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5" bestFit="1" customWidth="1"/>
    <col min="9" max="9" width="10" style="36" bestFit="1" customWidth="1"/>
    <col min="10" max="13" width="9.140625" style="35"/>
  </cols>
  <sheetData>
    <row r="1" spans="1:13" x14ac:dyDescent="0.2">
      <c r="A1" s="182" t="s">
        <v>36</v>
      </c>
      <c r="B1" s="183"/>
      <c r="C1" s="182" t="s">
        <v>37</v>
      </c>
      <c r="D1" s="183"/>
      <c r="F1" s="56"/>
      <c r="G1" s="56"/>
      <c r="H1" s="56"/>
      <c r="I1" s="56"/>
      <c r="J1" s="57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7" t="s">
        <v>34</v>
      </c>
      <c r="G2" s="37" t="s">
        <v>35</v>
      </c>
      <c r="H2" s="35" t="s">
        <v>33</v>
      </c>
      <c r="J2" s="58" t="s">
        <v>49</v>
      </c>
      <c r="K2" s="58" t="s">
        <v>10</v>
      </c>
      <c r="L2" s="58" t="s">
        <v>11</v>
      </c>
      <c r="M2" s="58" t="s">
        <v>14</v>
      </c>
    </row>
    <row r="3" spans="1:13" x14ac:dyDescent="0.2">
      <c r="A3" s="29">
        <v>12</v>
      </c>
      <c r="B3" s="29">
        <v>12</v>
      </c>
      <c r="C3" s="33">
        <v>1</v>
      </c>
      <c r="D3" s="33">
        <v>1</v>
      </c>
      <c r="F3">
        <f>INT(((A3-D3*2)/Setup!F$11)/2+0.5)*2</f>
        <v>2</v>
      </c>
      <c r="G3">
        <f>INT(((B3-C3*2)/Setup!F$11)/2+0.5)*2</f>
        <v>2</v>
      </c>
      <c r="H3" s="35">
        <f>IF(MOD(J3/2,4)=0,J3/4,IF(MOD(J3/2,4)&gt;2,TRUNC(J3/4,0)+1,TRUNC(J3/4,0)))</f>
        <v>12</v>
      </c>
      <c r="I3" s="34"/>
      <c r="J3" s="35">
        <v>50</v>
      </c>
      <c r="K3" s="35">
        <f t="shared" ref="K3:M22" si="0">J3*2</f>
        <v>100</v>
      </c>
      <c r="L3" s="35">
        <f t="shared" si="0"/>
        <v>200</v>
      </c>
      <c r="M3" s="35">
        <f t="shared" si="0"/>
        <v>400</v>
      </c>
    </row>
    <row r="4" spans="1:13" x14ac:dyDescent="0.2">
      <c r="A4" s="29">
        <v>12</v>
      </c>
      <c r="B4" s="29">
        <v>18</v>
      </c>
      <c r="C4" s="33">
        <v>1</v>
      </c>
      <c r="D4" s="33">
        <v>1</v>
      </c>
      <c r="F4">
        <f>INT(((A4-D4*2)/Setup!F$11)/2+0.5)*2</f>
        <v>2</v>
      </c>
      <c r="G4">
        <f>INT(((B4-C4*2)/Setup!F$11)/2+0.5)*2</f>
        <v>4</v>
      </c>
      <c r="H4" s="35">
        <f t="shared" ref="H4:H38" si="1">IF(MOD(J4/2,4)=0,J4/4,IF(MOD(J4/2,4)&gt;2,TRUNC(J4/4,0)+1,TRUNC(J4/4,0)))</f>
        <v>12</v>
      </c>
      <c r="I4" s="34"/>
      <c r="J4" s="35">
        <v>50</v>
      </c>
      <c r="K4" s="35">
        <f t="shared" si="0"/>
        <v>100</v>
      </c>
      <c r="L4" s="35">
        <f t="shared" si="0"/>
        <v>200</v>
      </c>
      <c r="M4" s="35">
        <f t="shared" si="0"/>
        <v>400</v>
      </c>
    </row>
    <row r="5" spans="1:13" x14ac:dyDescent="0.2">
      <c r="A5" s="29">
        <v>18</v>
      </c>
      <c r="B5" s="29">
        <v>18</v>
      </c>
      <c r="C5" s="33">
        <v>1</v>
      </c>
      <c r="D5" s="33">
        <v>1</v>
      </c>
      <c r="F5">
        <f>INT(((A5-D5*2)/Setup!F$11)/2+0.5)*2</f>
        <v>4</v>
      </c>
      <c r="G5">
        <f>INT(((B5-C5*2)/Setup!F$11)/2+0.5)*2</f>
        <v>4</v>
      </c>
      <c r="H5" s="35">
        <f t="shared" si="1"/>
        <v>12</v>
      </c>
      <c r="I5" s="34"/>
      <c r="J5" s="35">
        <v>50</v>
      </c>
      <c r="K5" s="35">
        <f t="shared" si="0"/>
        <v>100</v>
      </c>
      <c r="L5" s="35">
        <f t="shared" si="0"/>
        <v>200</v>
      </c>
      <c r="M5" s="35">
        <f t="shared" si="0"/>
        <v>400</v>
      </c>
    </row>
    <row r="6" spans="1:13" x14ac:dyDescent="0.2">
      <c r="A6" s="29">
        <v>18</v>
      </c>
      <c r="B6" s="29">
        <v>24</v>
      </c>
      <c r="C6" s="33">
        <v>1</v>
      </c>
      <c r="D6" s="33">
        <v>1</v>
      </c>
      <c r="F6">
        <f>INT(((A6-D6*2)/Setup!F$11)/2+0.5)*2</f>
        <v>4</v>
      </c>
      <c r="G6">
        <f>INT(((B6-C6*2)/Setup!F$11)/2+0.5)*2</f>
        <v>6</v>
      </c>
      <c r="H6" s="35">
        <f t="shared" si="1"/>
        <v>18</v>
      </c>
      <c r="I6" s="34"/>
      <c r="J6" s="35">
        <v>75</v>
      </c>
      <c r="K6" s="35">
        <f t="shared" si="0"/>
        <v>150</v>
      </c>
      <c r="L6" s="35">
        <f t="shared" si="0"/>
        <v>300</v>
      </c>
      <c r="M6" s="35">
        <f t="shared" si="0"/>
        <v>600</v>
      </c>
    </row>
    <row r="7" spans="1:13" x14ac:dyDescent="0.2">
      <c r="A7" s="29">
        <v>20</v>
      </c>
      <c r="B7" s="29">
        <v>30</v>
      </c>
      <c r="C7" s="33">
        <v>1</v>
      </c>
      <c r="D7" s="33">
        <v>1</v>
      </c>
      <c r="F7">
        <f>INT(((A7-D7*2)/Setup!F$11)/2+0.5)*2</f>
        <v>4</v>
      </c>
      <c r="G7">
        <f>INT(((B7-C7*2)/Setup!F$11)/2+0.5)*2</f>
        <v>8</v>
      </c>
      <c r="H7" s="35">
        <f t="shared" si="1"/>
        <v>25</v>
      </c>
      <c r="I7" s="34"/>
      <c r="J7" s="35">
        <v>100</v>
      </c>
      <c r="K7" s="35">
        <f t="shared" si="0"/>
        <v>200</v>
      </c>
      <c r="L7" s="35">
        <f t="shared" si="0"/>
        <v>400</v>
      </c>
      <c r="M7" s="35">
        <f t="shared" si="0"/>
        <v>800</v>
      </c>
    </row>
    <row r="8" spans="1:13" x14ac:dyDescent="0.2">
      <c r="A8" s="29">
        <v>24</v>
      </c>
      <c r="B8" s="29">
        <v>24</v>
      </c>
      <c r="C8" s="33">
        <v>1</v>
      </c>
      <c r="D8" s="33">
        <v>1</v>
      </c>
      <c r="F8">
        <f>INT(((A8-D8*2)/Setup!F$11)/2+0.5)*2</f>
        <v>6</v>
      </c>
      <c r="G8">
        <f>INT(((B8-C8*2)/Setup!F$11)/2+0.5)*2</f>
        <v>6</v>
      </c>
      <c r="H8" s="35">
        <f t="shared" si="1"/>
        <v>18</v>
      </c>
      <c r="I8" s="34"/>
      <c r="J8" s="35">
        <v>75</v>
      </c>
      <c r="K8" s="35">
        <f t="shared" si="0"/>
        <v>150</v>
      </c>
      <c r="L8" s="35">
        <f t="shared" si="0"/>
        <v>300</v>
      </c>
      <c r="M8" s="35">
        <f t="shared" si="0"/>
        <v>600</v>
      </c>
    </row>
    <row r="9" spans="1:13" x14ac:dyDescent="0.2">
      <c r="A9" s="29">
        <v>24</v>
      </c>
      <c r="B9" s="29">
        <v>36</v>
      </c>
      <c r="C9" s="33">
        <v>1</v>
      </c>
      <c r="D9" s="33">
        <v>1</v>
      </c>
      <c r="F9">
        <f>INT(((A9-D9*2)/Setup!F$11)/2+0.5)*2</f>
        <v>6</v>
      </c>
      <c r="G9">
        <f>INT(((B9-C9*2)/Setup!F$11)/2+0.5)*2</f>
        <v>8</v>
      </c>
      <c r="H9" s="35">
        <f t="shared" si="1"/>
        <v>25</v>
      </c>
      <c r="I9" s="34"/>
      <c r="J9" s="35">
        <v>100</v>
      </c>
      <c r="K9" s="35">
        <f t="shared" si="0"/>
        <v>200</v>
      </c>
      <c r="L9" s="35">
        <f t="shared" si="0"/>
        <v>400</v>
      </c>
      <c r="M9" s="35">
        <f t="shared" si="0"/>
        <v>800</v>
      </c>
    </row>
    <row r="10" spans="1:13" x14ac:dyDescent="0.2">
      <c r="A10" s="29">
        <v>24</v>
      </c>
      <c r="B10" s="29">
        <v>48</v>
      </c>
      <c r="C10" s="33">
        <v>1</v>
      </c>
      <c r="D10" s="33">
        <v>1</v>
      </c>
      <c r="F10">
        <f>INT(((A10-D10*2)/Setup!F$11)/2+0.5)*2</f>
        <v>6</v>
      </c>
      <c r="G10">
        <f>INT(((B10-C10*2)/Setup!F$11)/2+0.5)*2</f>
        <v>12</v>
      </c>
      <c r="H10" s="35">
        <f t="shared" si="1"/>
        <v>38</v>
      </c>
      <c r="I10" s="34"/>
      <c r="J10" s="35">
        <v>150</v>
      </c>
      <c r="K10" s="35">
        <f t="shared" si="0"/>
        <v>300</v>
      </c>
      <c r="L10" s="35">
        <f t="shared" si="0"/>
        <v>600</v>
      </c>
      <c r="M10" s="35">
        <f t="shared" si="0"/>
        <v>1200</v>
      </c>
    </row>
    <row r="11" spans="1:13" x14ac:dyDescent="0.2">
      <c r="A11" s="29">
        <v>24</v>
      </c>
      <c r="B11" s="29">
        <v>60</v>
      </c>
      <c r="C11" s="33">
        <v>2</v>
      </c>
      <c r="D11" s="33">
        <v>1</v>
      </c>
      <c r="F11">
        <f>INT(((A11-D11*2)/Setup!F$11)/2+0.5)*2</f>
        <v>6</v>
      </c>
      <c r="G11">
        <f>INT(((B11-C11*2)/Setup!F$11)/2+0.5)*2</f>
        <v>14</v>
      </c>
      <c r="H11" s="35">
        <f t="shared" si="1"/>
        <v>50</v>
      </c>
      <c r="I11" s="34"/>
      <c r="J11" s="35">
        <v>200</v>
      </c>
      <c r="K11" s="35">
        <f t="shared" si="0"/>
        <v>400</v>
      </c>
      <c r="L11" s="35">
        <f t="shared" si="0"/>
        <v>800</v>
      </c>
      <c r="M11" s="35">
        <f t="shared" si="0"/>
        <v>1600</v>
      </c>
    </row>
    <row r="12" spans="1:13" x14ac:dyDescent="0.2">
      <c r="A12" s="29">
        <v>30</v>
      </c>
      <c r="B12" s="29">
        <v>30</v>
      </c>
      <c r="C12" s="33">
        <v>1</v>
      </c>
      <c r="D12" s="33">
        <v>1</v>
      </c>
      <c r="F12">
        <f>INT(((A12-D12*2)/Setup!F$11)/2+0.5)*2</f>
        <v>8</v>
      </c>
      <c r="G12">
        <f>INT(((B12-C12*2)/Setup!F$11)/2+0.5)*2</f>
        <v>8</v>
      </c>
      <c r="H12" s="35">
        <f t="shared" si="1"/>
        <v>25</v>
      </c>
      <c r="I12" s="34"/>
      <c r="J12" s="35">
        <v>100</v>
      </c>
      <c r="K12" s="35">
        <f t="shared" si="0"/>
        <v>200</v>
      </c>
      <c r="L12" s="35">
        <f t="shared" si="0"/>
        <v>400</v>
      </c>
      <c r="M12" s="35">
        <f t="shared" si="0"/>
        <v>800</v>
      </c>
    </row>
    <row r="13" spans="1:13" x14ac:dyDescent="0.2">
      <c r="A13" s="29">
        <v>30</v>
      </c>
      <c r="B13" s="29">
        <v>36</v>
      </c>
      <c r="C13" s="33">
        <v>2</v>
      </c>
      <c r="D13" s="33">
        <v>1</v>
      </c>
      <c r="F13">
        <f>INT(((A13-D13*2)/Setup!F$11)/2+0.5)*2</f>
        <v>8</v>
      </c>
      <c r="G13">
        <f>INT(((B13-C13*2)/Setup!F$11)/2+0.5)*2</f>
        <v>8</v>
      </c>
      <c r="H13" s="35">
        <f t="shared" si="1"/>
        <v>32</v>
      </c>
      <c r="I13" s="34"/>
      <c r="J13" s="35">
        <v>125</v>
      </c>
      <c r="K13" s="35">
        <f t="shared" si="0"/>
        <v>250</v>
      </c>
      <c r="L13" s="35">
        <f t="shared" si="0"/>
        <v>500</v>
      </c>
      <c r="M13" s="35">
        <f t="shared" si="0"/>
        <v>1000</v>
      </c>
    </row>
    <row r="14" spans="1:13" x14ac:dyDescent="0.2">
      <c r="A14" s="29">
        <v>30</v>
      </c>
      <c r="B14" s="29">
        <v>48</v>
      </c>
      <c r="C14" s="33">
        <v>2</v>
      </c>
      <c r="D14" s="33">
        <v>1</v>
      </c>
      <c r="F14">
        <f>INT(((A14-D14*2)/Setup!F$11)/2+0.5)*2</f>
        <v>8</v>
      </c>
      <c r="G14">
        <f>INT(((B14-C14*2)/Setup!F$11)/2+0.5)*2</f>
        <v>12</v>
      </c>
      <c r="H14" s="35">
        <f t="shared" si="1"/>
        <v>44</v>
      </c>
      <c r="I14" s="34"/>
      <c r="J14" s="35">
        <v>175</v>
      </c>
      <c r="K14" s="35">
        <f t="shared" si="0"/>
        <v>350</v>
      </c>
      <c r="L14" s="35">
        <f t="shared" si="0"/>
        <v>700</v>
      </c>
      <c r="M14" s="35">
        <f t="shared" si="0"/>
        <v>1400</v>
      </c>
    </row>
    <row r="15" spans="1:13" x14ac:dyDescent="0.2">
      <c r="A15" s="29">
        <v>30</v>
      </c>
      <c r="B15" s="29">
        <v>60</v>
      </c>
      <c r="C15" s="33">
        <v>2</v>
      </c>
      <c r="D15" s="33">
        <v>1</v>
      </c>
      <c r="F15">
        <f>INT(((A15-D15*2)/Setup!F$11)/2+0.5)*2</f>
        <v>8</v>
      </c>
      <c r="G15">
        <f>INT(((B15-C15*2)/Setup!F$11)/2+0.5)*2</f>
        <v>14</v>
      </c>
      <c r="H15" s="35">
        <f t="shared" si="1"/>
        <v>56</v>
      </c>
      <c r="I15" s="34"/>
      <c r="J15" s="35">
        <v>225</v>
      </c>
      <c r="K15" s="35">
        <f t="shared" si="0"/>
        <v>450</v>
      </c>
      <c r="L15" s="35">
        <f t="shared" si="0"/>
        <v>900</v>
      </c>
      <c r="M15" s="35">
        <f t="shared" si="0"/>
        <v>1800</v>
      </c>
    </row>
    <row r="16" spans="1:13" x14ac:dyDescent="0.2">
      <c r="A16" s="29">
        <v>36</v>
      </c>
      <c r="B16" s="29">
        <v>36</v>
      </c>
      <c r="C16" s="33">
        <v>2</v>
      </c>
      <c r="D16" s="33">
        <v>2</v>
      </c>
      <c r="F16">
        <f>INT(((A16-D16*2)/Setup!F$11)/2+0.5)*2</f>
        <v>8</v>
      </c>
      <c r="G16">
        <f>INT(((B16-C16*2)/Setup!F$11)/2+0.5)*2</f>
        <v>8</v>
      </c>
      <c r="H16" s="35">
        <f t="shared" si="1"/>
        <v>38</v>
      </c>
      <c r="I16" s="34"/>
      <c r="J16" s="35">
        <v>150</v>
      </c>
      <c r="K16" s="35">
        <f t="shared" si="0"/>
        <v>300</v>
      </c>
      <c r="L16" s="35">
        <f t="shared" si="0"/>
        <v>600</v>
      </c>
      <c r="M16" s="35">
        <f t="shared" si="0"/>
        <v>1200</v>
      </c>
    </row>
    <row r="17" spans="1:13" x14ac:dyDescent="0.2">
      <c r="A17" s="29">
        <v>36</v>
      </c>
      <c r="B17" s="29">
        <v>48</v>
      </c>
      <c r="C17" s="33">
        <v>2</v>
      </c>
      <c r="D17" s="33">
        <v>2</v>
      </c>
      <c r="F17">
        <f>INT(((A17-D17*2)/Setup!F$11)/2+0.5)*2</f>
        <v>8</v>
      </c>
      <c r="G17">
        <f>INT(((B17-C17*2)/Setup!F$11)/2+0.5)*2</f>
        <v>12</v>
      </c>
      <c r="H17" s="35">
        <f t="shared" si="1"/>
        <v>50</v>
      </c>
      <c r="I17" s="34"/>
      <c r="J17" s="35">
        <v>200</v>
      </c>
      <c r="K17" s="35">
        <f t="shared" si="0"/>
        <v>400</v>
      </c>
      <c r="L17" s="35">
        <f t="shared" si="0"/>
        <v>800</v>
      </c>
      <c r="M17" s="35">
        <f t="shared" si="0"/>
        <v>1600</v>
      </c>
    </row>
    <row r="18" spans="1:13" x14ac:dyDescent="0.2">
      <c r="A18" s="29">
        <v>36</v>
      </c>
      <c r="B18" s="29">
        <v>60</v>
      </c>
      <c r="C18" s="33">
        <v>3</v>
      </c>
      <c r="D18" s="33">
        <v>2</v>
      </c>
      <c r="F18">
        <f>INT(((A18-D18*2)/Setup!F$11)/2+0.5)*2</f>
        <v>8</v>
      </c>
      <c r="G18">
        <f>INT(((B18-C18*2)/Setup!F$11)/2+0.5)*2</f>
        <v>14</v>
      </c>
      <c r="H18" s="35">
        <f t="shared" si="1"/>
        <v>62</v>
      </c>
      <c r="I18" s="34"/>
      <c r="J18" s="35">
        <v>250</v>
      </c>
      <c r="K18" s="35">
        <f t="shared" si="0"/>
        <v>500</v>
      </c>
      <c r="L18" s="35">
        <f t="shared" si="0"/>
        <v>1000</v>
      </c>
      <c r="M18" s="35">
        <f t="shared" si="0"/>
        <v>2000</v>
      </c>
    </row>
    <row r="19" spans="1:13" x14ac:dyDescent="0.2">
      <c r="A19" s="29">
        <v>36</v>
      </c>
      <c r="B19" s="29">
        <v>72</v>
      </c>
      <c r="C19" s="33">
        <v>2</v>
      </c>
      <c r="D19" s="33">
        <v>1</v>
      </c>
      <c r="F19">
        <f>INT(((Setup!F8-Setup!D13*2)/Setup!F11)/2+0.5)*2</f>
        <v>16</v>
      </c>
      <c r="G19">
        <f>INT(((B19-C19*2)/Setup!F$11)/2+0.5)*2</f>
        <v>18</v>
      </c>
      <c r="H19" s="35">
        <f t="shared" si="1"/>
        <v>75</v>
      </c>
      <c r="I19" s="34"/>
      <c r="J19" s="35">
        <v>300</v>
      </c>
      <c r="K19" s="35">
        <f t="shared" si="0"/>
        <v>600</v>
      </c>
      <c r="L19" s="35">
        <f t="shared" si="0"/>
        <v>1200</v>
      </c>
      <c r="M19" s="35">
        <f t="shared" si="0"/>
        <v>2400</v>
      </c>
    </row>
    <row r="20" spans="1:13" x14ac:dyDescent="0.2">
      <c r="A20" s="29">
        <v>48</v>
      </c>
      <c r="B20" s="29">
        <v>48</v>
      </c>
      <c r="C20" s="33">
        <v>2</v>
      </c>
      <c r="D20" s="33">
        <v>2</v>
      </c>
      <c r="F20">
        <f>INT(((A20-D20*2)/Setup!F$11)/2+0.5)*2</f>
        <v>12</v>
      </c>
      <c r="G20">
        <f>INT(((B20-C20*2)/Setup!F$11)/2+0.5)*2</f>
        <v>12</v>
      </c>
      <c r="H20" s="35">
        <f t="shared" si="1"/>
        <v>50</v>
      </c>
      <c r="I20" s="34"/>
      <c r="J20" s="35">
        <v>200</v>
      </c>
      <c r="K20" s="35">
        <f t="shared" si="0"/>
        <v>400</v>
      </c>
      <c r="L20" s="35">
        <f t="shared" si="0"/>
        <v>800</v>
      </c>
      <c r="M20" s="35">
        <f t="shared" si="0"/>
        <v>1600</v>
      </c>
    </row>
    <row r="21" spans="1:13" x14ac:dyDescent="0.2">
      <c r="A21" s="29">
        <v>48</v>
      </c>
      <c r="B21" s="29">
        <v>60</v>
      </c>
      <c r="C21" s="33">
        <v>2</v>
      </c>
      <c r="D21" s="33">
        <v>2</v>
      </c>
      <c r="F21">
        <f>INT(((A21-D21*2)/Setup!F$11)/2+0.5)*2</f>
        <v>12</v>
      </c>
      <c r="G21">
        <f>INT(((B21-C21*2)/Setup!F$11)/2+0.5)*2</f>
        <v>14</v>
      </c>
      <c r="H21" s="35">
        <f t="shared" si="1"/>
        <v>75</v>
      </c>
      <c r="I21" s="34"/>
      <c r="J21" s="35">
        <v>300</v>
      </c>
      <c r="K21" s="35">
        <f t="shared" si="0"/>
        <v>600</v>
      </c>
      <c r="L21" s="35">
        <f t="shared" si="0"/>
        <v>1200</v>
      </c>
      <c r="M21" s="35">
        <f t="shared" si="0"/>
        <v>2400</v>
      </c>
    </row>
    <row r="22" spans="1:13" x14ac:dyDescent="0.2">
      <c r="A22" s="29">
        <v>48</v>
      </c>
      <c r="B22" s="29">
        <v>72</v>
      </c>
      <c r="C22" s="33">
        <v>4</v>
      </c>
      <c r="D22" s="33">
        <v>4</v>
      </c>
      <c r="F22">
        <f>INT(((A22-D22*2)/Setup!F$11)/2+0.5)*2</f>
        <v>10</v>
      </c>
      <c r="G22">
        <f>INT(((B22-C22*2)/Setup!F$11)/2+0.5)*2</f>
        <v>16</v>
      </c>
      <c r="H22" s="35">
        <f t="shared" si="1"/>
        <v>88</v>
      </c>
      <c r="I22" s="34"/>
      <c r="J22" s="35">
        <v>350</v>
      </c>
      <c r="K22" s="35">
        <f t="shared" si="0"/>
        <v>700</v>
      </c>
      <c r="L22" s="35">
        <f t="shared" si="0"/>
        <v>1400</v>
      </c>
      <c r="M22" s="35">
        <f t="shared" si="0"/>
        <v>2800</v>
      </c>
    </row>
    <row r="23" spans="1:13" x14ac:dyDescent="0.2">
      <c r="A23" s="29">
        <v>48</v>
      </c>
      <c r="B23" s="29">
        <v>84</v>
      </c>
      <c r="C23" s="33">
        <v>2</v>
      </c>
      <c r="D23" s="33">
        <v>4</v>
      </c>
      <c r="F23">
        <f>INT(((A23-D23*2)/Setup!F$11)/2+0.5)*2</f>
        <v>10</v>
      </c>
      <c r="G23">
        <f>INT(((B23-C23*2)/Setup!F$11)/2+0.5)*2</f>
        <v>20</v>
      </c>
      <c r="H23" s="35">
        <f t="shared" si="1"/>
        <v>106</v>
      </c>
      <c r="I23" s="34"/>
      <c r="J23" s="35">
        <v>425</v>
      </c>
      <c r="K23" s="35">
        <f t="shared" ref="K23:M38" si="2">J23*2</f>
        <v>850</v>
      </c>
      <c r="L23" s="35">
        <f t="shared" si="2"/>
        <v>1700</v>
      </c>
      <c r="M23" s="35">
        <f t="shared" si="2"/>
        <v>3400</v>
      </c>
    </row>
    <row r="24" spans="1:13" x14ac:dyDescent="0.2">
      <c r="A24" s="29">
        <v>48</v>
      </c>
      <c r="B24" s="29">
        <v>96</v>
      </c>
      <c r="C24" s="33">
        <v>4</v>
      </c>
      <c r="D24" s="33">
        <v>4</v>
      </c>
      <c r="F24">
        <f>INT(((A24-D24*2)/Setup!F$11)/2+0.5)*2</f>
        <v>10</v>
      </c>
      <c r="G24">
        <f>INT(((B24-C24*2)/Setup!F$11)/2+0.5)*2</f>
        <v>22</v>
      </c>
      <c r="H24" s="35">
        <f t="shared" si="1"/>
        <v>125</v>
      </c>
      <c r="I24" s="34"/>
      <c r="J24" s="35">
        <v>500</v>
      </c>
      <c r="K24" s="35">
        <f t="shared" si="2"/>
        <v>1000</v>
      </c>
      <c r="L24" s="35">
        <f t="shared" si="2"/>
        <v>2000</v>
      </c>
      <c r="M24" s="35">
        <f t="shared" si="2"/>
        <v>4000</v>
      </c>
    </row>
    <row r="25" spans="1:13" x14ac:dyDescent="0.2">
      <c r="A25" s="29">
        <v>48</v>
      </c>
      <c r="B25" s="29">
        <v>108</v>
      </c>
      <c r="C25" s="33">
        <v>2</v>
      </c>
      <c r="D25" s="33">
        <v>4</v>
      </c>
      <c r="F25">
        <f>INT(((A25-D25*2)/Setup!F$11)/2+0.5)*2</f>
        <v>10</v>
      </c>
      <c r="G25">
        <f>INT(((B25-C25*2)/Setup!F$11)/2+0.5)*2</f>
        <v>26</v>
      </c>
      <c r="H25" s="35">
        <f t="shared" si="1"/>
        <v>150</v>
      </c>
      <c r="I25" s="34"/>
      <c r="J25" s="35">
        <v>600</v>
      </c>
      <c r="K25" s="35">
        <f t="shared" si="2"/>
        <v>1200</v>
      </c>
      <c r="L25" s="35">
        <f t="shared" si="2"/>
        <v>2400</v>
      </c>
      <c r="M25" s="35">
        <f t="shared" si="2"/>
        <v>4800</v>
      </c>
    </row>
    <row r="26" spans="1:13" x14ac:dyDescent="0.2">
      <c r="A26" s="29">
        <v>48</v>
      </c>
      <c r="B26" s="29">
        <v>120</v>
      </c>
      <c r="C26" s="33">
        <v>4</v>
      </c>
      <c r="D26" s="33">
        <v>4</v>
      </c>
      <c r="F26">
        <f>INT(((A26-D26*2)/Setup!F$11)/2+0.5)*2</f>
        <v>10</v>
      </c>
      <c r="G26">
        <f>INT(((B26-C26*2)/Setup!F$11)/2+0.5)*2</f>
        <v>28</v>
      </c>
      <c r="H26" s="35">
        <f t="shared" si="1"/>
        <v>175</v>
      </c>
      <c r="I26" s="34"/>
      <c r="J26" s="35">
        <v>700</v>
      </c>
      <c r="K26" s="35">
        <f t="shared" si="2"/>
        <v>1400</v>
      </c>
      <c r="L26" s="35">
        <f t="shared" si="2"/>
        <v>2800</v>
      </c>
      <c r="M26" s="35">
        <f t="shared" si="2"/>
        <v>5600</v>
      </c>
    </row>
    <row r="27" spans="1:13" x14ac:dyDescent="0.2">
      <c r="A27" s="29">
        <v>48</v>
      </c>
      <c r="B27" s="29">
        <v>144</v>
      </c>
      <c r="C27" s="33">
        <v>4</v>
      </c>
      <c r="D27" s="33">
        <v>4</v>
      </c>
      <c r="F27">
        <f>INT(((A27-D27*2)/Setup!F$11)/2+0.5)*2</f>
        <v>10</v>
      </c>
      <c r="G27">
        <f>INT(((B27-C27*2)/Setup!F$11)/2+0.5)*2</f>
        <v>34</v>
      </c>
      <c r="H27" s="35">
        <f t="shared" si="1"/>
        <v>238</v>
      </c>
      <c r="I27" s="34"/>
      <c r="J27" s="35">
        <v>950</v>
      </c>
      <c r="K27" s="35">
        <f t="shared" si="2"/>
        <v>1900</v>
      </c>
      <c r="L27" s="35">
        <f t="shared" si="2"/>
        <v>3800</v>
      </c>
      <c r="M27" s="35">
        <f t="shared" si="2"/>
        <v>7600</v>
      </c>
    </row>
    <row r="28" spans="1:13" x14ac:dyDescent="0.2">
      <c r="A28" s="29">
        <v>60</v>
      </c>
      <c r="B28" s="29">
        <v>60</v>
      </c>
      <c r="C28" s="33">
        <v>2</v>
      </c>
      <c r="D28" s="33">
        <v>2</v>
      </c>
      <c r="F28">
        <f>INT(((A28-D28*2)/Setup!F$11)/2+0.5)*2</f>
        <v>14</v>
      </c>
      <c r="G28">
        <f>INT(((B28-C28*2)/Setup!F$11)/2+0.5)*2</f>
        <v>14</v>
      </c>
      <c r="H28" s="35">
        <f t="shared" si="1"/>
        <v>82</v>
      </c>
      <c r="I28" s="34"/>
      <c r="J28" s="35">
        <v>325</v>
      </c>
      <c r="K28" s="35">
        <f t="shared" si="2"/>
        <v>650</v>
      </c>
      <c r="L28" s="35">
        <f t="shared" si="2"/>
        <v>1300</v>
      </c>
      <c r="M28" s="35">
        <f t="shared" si="2"/>
        <v>2600</v>
      </c>
    </row>
    <row r="29" spans="1:13" x14ac:dyDescent="0.2">
      <c r="A29" s="29">
        <v>60</v>
      </c>
      <c r="B29" s="29">
        <v>72</v>
      </c>
      <c r="C29" s="33">
        <v>4</v>
      </c>
      <c r="D29" s="33">
        <v>2</v>
      </c>
      <c r="F29">
        <f>INT(((A29-D29*2)/Setup!F$11)/2+0.5)*2</f>
        <v>14</v>
      </c>
      <c r="G29">
        <f>INT(((B29-C29*2)/Setup!F$11)/2+0.5)*2</f>
        <v>16</v>
      </c>
      <c r="H29" s="35">
        <f t="shared" si="1"/>
        <v>100</v>
      </c>
      <c r="I29" s="34"/>
      <c r="J29" s="35">
        <v>400</v>
      </c>
      <c r="K29" s="35">
        <f t="shared" si="2"/>
        <v>800</v>
      </c>
      <c r="L29" s="35">
        <f t="shared" si="2"/>
        <v>1600</v>
      </c>
      <c r="M29" s="35">
        <f t="shared" si="2"/>
        <v>3200</v>
      </c>
    </row>
    <row r="30" spans="1:13" x14ac:dyDescent="0.2">
      <c r="A30" s="29">
        <v>60</v>
      </c>
      <c r="B30" s="29">
        <v>84</v>
      </c>
      <c r="C30" s="33">
        <v>2</v>
      </c>
      <c r="D30" s="33">
        <v>2</v>
      </c>
      <c r="F30">
        <f>INT(((A30-D30*2)/Setup!F$11)/2+0.5)*2</f>
        <v>14</v>
      </c>
      <c r="G30">
        <f>INT(((B30-C30*2)/Setup!F$11)/2+0.5)*2</f>
        <v>20</v>
      </c>
      <c r="H30" s="35">
        <f t="shared" si="1"/>
        <v>118</v>
      </c>
      <c r="I30" s="34"/>
      <c r="J30" s="35">
        <v>475</v>
      </c>
      <c r="K30" s="35">
        <f t="shared" si="2"/>
        <v>950</v>
      </c>
      <c r="L30" s="35">
        <f t="shared" si="2"/>
        <v>1900</v>
      </c>
      <c r="M30" s="35">
        <f t="shared" si="2"/>
        <v>3800</v>
      </c>
    </row>
    <row r="31" spans="1:13" x14ac:dyDescent="0.2">
      <c r="A31" s="29">
        <v>60</v>
      </c>
      <c r="B31" s="29">
        <v>96</v>
      </c>
      <c r="C31" s="33">
        <v>4</v>
      </c>
      <c r="D31" s="33">
        <v>2</v>
      </c>
      <c r="F31">
        <f>INT(((A31-D31*2)/Setup!F$11)/2+0.5)*2</f>
        <v>14</v>
      </c>
      <c r="G31">
        <f>INT(((B31-C31*2)/Setup!F$11)/2+0.5)*2</f>
        <v>22</v>
      </c>
      <c r="H31" s="35">
        <f t="shared" si="1"/>
        <v>138</v>
      </c>
      <c r="I31" s="34"/>
      <c r="J31" s="35">
        <v>550</v>
      </c>
      <c r="K31" s="35">
        <f t="shared" si="2"/>
        <v>1100</v>
      </c>
      <c r="L31" s="35">
        <f t="shared" si="2"/>
        <v>2200</v>
      </c>
      <c r="M31" s="35">
        <f t="shared" si="2"/>
        <v>4400</v>
      </c>
    </row>
    <row r="32" spans="1:13" x14ac:dyDescent="0.2">
      <c r="A32" s="29">
        <v>60</v>
      </c>
      <c r="B32" s="29">
        <v>108</v>
      </c>
      <c r="C32" s="33">
        <v>2</v>
      </c>
      <c r="D32" s="33">
        <v>2</v>
      </c>
      <c r="F32">
        <f>INT(((A32-D32*2)/Setup!F$11)/2+0.5)*2</f>
        <v>14</v>
      </c>
      <c r="G32">
        <f>INT(((B32-C32*2)/Setup!F$11)/2+0.5)*2</f>
        <v>26</v>
      </c>
      <c r="H32" s="35">
        <f t="shared" si="1"/>
        <v>162</v>
      </c>
      <c r="I32" s="34"/>
      <c r="J32" s="35">
        <v>650</v>
      </c>
      <c r="K32" s="35">
        <f t="shared" si="2"/>
        <v>1300</v>
      </c>
      <c r="L32" s="35">
        <f t="shared" si="2"/>
        <v>2600</v>
      </c>
      <c r="M32" s="35">
        <f t="shared" si="2"/>
        <v>5200</v>
      </c>
    </row>
    <row r="33" spans="1:13" x14ac:dyDescent="0.2">
      <c r="A33" s="29">
        <v>60</v>
      </c>
      <c r="B33" s="29">
        <v>120</v>
      </c>
      <c r="C33" s="33">
        <v>4</v>
      </c>
      <c r="D33" s="33">
        <v>2</v>
      </c>
      <c r="F33">
        <f>INT(((A33-D33*2)/Setup!F$11)/2+0.5)*2</f>
        <v>14</v>
      </c>
      <c r="G33">
        <f>INT(((B33-C33*2)/Setup!F$11)/2+0.5)*2</f>
        <v>28</v>
      </c>
      <c r="H33" s="35">
        <f t="shared" si="1"/>
        <v>188</v>
      </c>
      <c r="I33" s="34"/>
      <c r="J33" s="35">
        <v>750</v>
      </c>
      <c r="K33" s="35">
        <f t="shared" si="2"/>
        <v>1500</v>
      </c>
      <c r="L33" s="35">
        <f t="shared" si="2"/>
        <v>3000</v>
      </c>
      <c r="M33" s="35">
        <f t="shared" si="2"/>
        <v>6000</v>
      </c>
    </row>
    <row r="34" spans="1:13" x14ac:dyDescent="0.2">
      <c r="A34" s="29">
        <v>60</v>
      </c>
      <c r="B34" s="29">
        <v>144</v>
      </c>
      <c r="C34" s="33">
        <v>4</v>
      </c>
      <c r="D34" s="33">
        <v>2</v>
      </c>
      <c r="F34">
        <f>INT(((A34-D34*2)/Setup!F$11)/2+0.5)*2</f>
        <v>14</v>
      </c>
      <c r="G34">
        <f>INT(((B34-C34*2)/Setup!F$11)/2+0.5)*2</f>
        <v>34</v>
      </c>
      <c r="H34" s="35">
        <f t="shared" si="1"/>
        <v>256</v>
      </c>
      <c r="I34" s="34"/>
      <c r="J34" s="35">
        <v>1025</v>
      </c>
      <c r="K34" s="35">
        <f t="shared" si="2"/>
        <v>2050</v>
      </c>
      <c r="L34" s="35">
        <f t="shared" si="2"/>
        <v>4100</v>
      </c>
      <c r="M34" s="35">
        <f t="shared" si="2"/>
        <v>8200</v>
      </c>
    </row>
    <row r="35" spans="1:13" x14ac:dyDescent="0.2">
      <c r="A35" s="29">
        <v>72</v>
      </c>
      <c r="B35" s="29">
        <v>72</v>
      </c>
      <c r="C35" s="33">
        <v>4</v>
      </c>
      <c r="D35" s="33">
        <v>4</v>
      </c>
      <c r="F35">
        <f>INT(((A35-D35*2)/Setup!F$11)/2+0.5)*2</f>
        <v>16</v>
      </c>
      <c r="G35">
        <f>INT(((B35-C35*2)/Setup!F$11)/2+0.5)*2</f>
        <v>16</v>
      </c>
      <c r="H35" s="35">
        <f t="shared" si="1"/>
        <v>112</v>
      </c>
      <c r="I35" s="34"/>
      <c r="J35" s="35">
        <v>450</v>
      </c>
      <c r="K35" s="35">
        <f t="shared" si="2"/>
        <v>900</v>
      </c>
      <c r="L35" s="35">
        <f t="shared" si="2"/>
        <v>1800</v>
      </c>
      <c r="M35" s="35">
        <f t="shared" si="2"/>
        <v>3600</v>
      </c>
    </row>
    <row r="36" spans="1:13" x14ac:dyDescent="0.2">
      <c r="A36" s="29">
        <v>72</v>
      </c>
      <c r="B36" s="29">
        <v>96</v>
      </c>
      <c r="C36" s="33">
        <v>4</v>
      </c>
      <c r="D36" s="33">
        <v>4</v>
      </c>
      <c r="F36">
        <f>INT(((A36-D36*2)/Setup!F$11)/2+0.5)*2</f>
        <v>16</v>
      </c>
      <c r="G36">
        <f>INT(((B36-C36*2)/Setup!F$11)/2+0.5)*2</f>
        <v>22</v>
      </c>
      <c r="H36" s="35">
        <f t="shared" si="1"/>
        <v>150</v>
      </c>
      <c r="I36" s="34"/>
      <c r="J36" s="35">
        <v>600</v>
      </c>
      <c r="K36" s="35">
        <f t="shared" si="2"/>
        <v>1200</v>
      </c>
      <c r="L36" s="35">
        <f t="shared" si="2"/>
        <v>2400</v>
      </c>
      <c r="M36" s="35">
        <f t="shared" si="2"/>
        <v>4800</v>
      </c>
    </row>
    <row r="37" spans="1:13" x14ac:dyDescent="0.2">
      <c r="A37" s="29">
        <v>72</v>
      </c>
      <c r="B37" s="29">
        <v>120</v>
      </c>
      <c r="C37" s="33">
        <v>4</v>
      </c>
      <c r="D37" s="33">
        <v>4</v>
      </c>
      <c r="F37">
        <f>INT(((A37-D37*2)/Setup!F$11)/2+0.5)*2</f>
        <v>16</v>
      </c>
      <c r="G37">
        <f>INT(((B37-C37*2)/Setup!F$11)/2+0.5)*2</f>
        <v>28</v>
      </c>
      <c r="H37" s="35">
        <f t="shared" si="1"/>
        <v>206</v>
      </c>
      <c r="I37" s="34"/>
      <c r="J37" s="35">
        <v>825</v>
      </c>
      <c r="K37" s="35">
        <f t="shared" si="2"/>
        <v>1650</v>
      </c>
      <c r="L37" s="35">
        <f t="shared" si="2"/>
        <v>3300</v>
      </c>
      <c r="M37" s="35">
        <f t="shared" si="2"/>
        <v>6600</v>
      </c>
    </row>
    <row r="38" spans="1:13" x14ac:dyDescent="0.2">
      <c r="A38" s="29">
        <v>72</v>
      </c>
      <c r="B38" s="29">
        <v>144</v>
      </c>
      <c r="C38" s="33">
        <v>4</v>
      </c>
      <c r="D38" s="33">
        <v>4</v>
      </c>
      <c r="F38">
        <f>INT(((A38-D38*2)/Setup!F$11)/2+0.5)*2</f>
        <v>16</v>
      </c>
      <c r="G38">
        <f>INT(((B38-C38*2)/Setup!F$11)/2+0.5)*2</f>
        <v>34</v>
      </c>
      <c r="H38" s="35">
        <f t="shared" si="1"/>
        <v>275</v>
      </c>
      <c r="I38" s="34"/>
      <c r="J38" s="35">
        <v>1100</v>
      </c>
      <c r="K38" s="35">
        <f t="shared" si="2"/>
        <v>2200</v>
      </c>
      <c r="L38" s="35">
        <f t="shared" si="2"/>
        <v>4400</v>
      </c>
      <c r="M38" s="35">
        <f t="shared" si="2"/>
        <v>8800</v>
      </c>
    </row>
    <row r="39" spans="1:13" x14ac:dyDescent="0.2">
      <c r="D39" s="32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2017-01-15T16:27:16Z</dcterms:modified>
  <cp:category>Physical Dimentional Metrology</cp:category>
</cp:coreProperties>
</file>