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D:\~Current Workload\"/>
    </mc:Choice>
  </mc:AlternateContent>
  <bookViews>
    <workbookView xWindow="0" yWindow="90" windowWidth="15195" windowHeight="8700" tabRatio="734"/>
  </bookViews>
  <sheets>
    <sheet name="Setup &amp; Summary" sheetId="6" r:id="rId1"/>
    <sheet name="A" sheetId="1" r:id="rId2"/>
    <sheet name="B" sheetId="2" r:id="rId3"/>
    <sheet name="C" sheetId="11" r:id="rId4"/>
    <sheet name="D" sheetId="12" r:id="rId5"/>
    <sheet name="E" sheetId="13" r:id="rId6"/>
    <sheet name="F" sheetId="14" r:id="rId7"/>
    <sheet name="G" sheetId="3" r:id="rId8"/>
    <sheet name="H" sheetId="5" r:id="rId9"/>
    <sheet name="Figurings" sheetId="15" r:id="rId10"/>
  </sheets>
  <functionGroups builtInGroupCount="18"/>
  <calcPr calcId="171027"/>
</workbook>
</file>

<file path=xl/calcChain.xml><?xml version="1.0" encoding="utf-8"?>
<calcChain xmlns="http://schemas.openxmlformats.org/spreadsheetml/2006/main">
  <c r="J25" i="3" l="1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24" i="3"/>
  <c r="J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30" i="13"/>
  <c r="I30" i="13" s="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30" i="11"/>
  <c r="I30" i="11" s="1"/>
  <c r="N6" i="5"/>
  <c r="N6" i="3"/>
  <c r="N6" i="14"/>
  <c r="N6" i="13"/>
  <c r="N6" i="12"/>
  <c r="N6" i="11"/>
  <c r="N6" i="2"/>
  <c r="N7" i="1"/>
  <c r="N6" i="1"/>
  <c r="Q25" i="6" l="1" a="1"/>
  <c r="Q25" i="6" s="1"/>
  <c r="K4" i="15"/>
  <c r="L4" i="15" s="1"/>
  <c r="M4" i="15" s="1"/>
  <c r="K5" i="15"/>
  <c r="L5" i="15" s="1"/>
  <c r="M5" i="15" s="1"/>
  <c r="K6" i="15"/>
  <c r="L6" i="15" s="1"/>
  <c r="M6" i="15" s="1"/>
  <c r="K7" i="15"/>
  <c r="L7" i="15"/>
  <c r="M7" i="15" s="1"/>
  <c r="K8" i="15"/>
  <c r="L8" i="15" s="1"/>
  <c r="M8" i="15" s="1"/>
  <c r="K9" i="15"/>
  <c r="L9" i="15" s="1"/>
  <c r="M9" i="15" s="1"/>
  <c r="K10" i="15"/>
  <c r="L10" i="15" s="1"/>
  <c r="M10" i="15" s="1"/>
  <c r="K11" i="15"/>
  <c r="L11" i="15"/>
  <c r="M11" i="15" s="1"/>
  <c r="K12" i="15"/>
  <c r="L12" i="15" s="1"/>
  <c r="M12" i="15" s="1"/>
  <c r="K13" i="15"/>
  <c r="L13" i="15" s="1"/>
  <c r="M13" i="15" s="1"/>
  <c r="K14" i="15"/>
  <c r="L14" i="15" s="1"/>
  <c r="M14" i="15" s="1"/>
  <c r="K15" i="15"/>
  <c r="L15" i="15"/>
  <c r="M15" i="15" s="1"/>
  <c r="K16" i="15"/>
  <c r="L16" i="15" s="1"/>
  <c r="M16" i="15" s="1"/>
  <c r="K17" i="15"/>
  <c r="L17" i="15" s="1"/>
  <c r="M17" i="15" s="1"/>
  <c r="K18" i="15"/>
  <c r="L18" i="15" s="1"/>
  <c r="M18" i="15" s="1"/>
  <c r="K19" i="15"/>
  <c r="L19" i="15"/>
  <c r="M19" i="15" s="1"/>
  <c r="K20" i="15"/>
  <c r="L20" i="15" s="1"/>
  <c r="M20" i="15" s="1"/>
  <c r="K21" i="15"/>
  <c r="L21" i="15" s="1"/>
  <c r="M21" i="15" s="1"/>
  <c r="K22" i="15"/>
  <c r="L22" i="15" s="1"/>
  <c r="M22" i="15" s="1"/>
  <c r="K23" i="15"/>
  <c r="L23" i="15"/>
  <c r="M23" i="15" s="1"/>
  <c r="K24" i="15"/>
  <c r="L24" i="15" s="1"/>
  <c r="M24" i="15" s="1"/>
  <c r="K25" i="15"/>
  <c r="L25" i="15" s="1"/>
  <c r="M25" i="15" s="1"/>
  <c r="K26" i="15"/>
  <c r="L26" i="15" s="1"/>
  <c r="M26" i="15" s="1"/>
  <c r="K27" i="15"/>
  <c r="L27" i="15"/>
  <c r="M27" i="15" s="1"/>
  <c r="K28" i="15"/>
  <c r="L28" i="15" s="1"/>
  <c r="M28" i="15" s="1"/>
  <c r="K29" i="15"/>
  <c r="L29" i="15" s="1"/>
  <c r="M29" i="15" s="1"/>
  <c r="K30" i="15"/>
  <c r="L30" i="15" s="1"/>
  <c r="M30" i="15" s="1"/>
  <c r="K31" i="15"/>
  <c r="L31" i="15"/>
  <c r="M31" i="15" s="1"/>
  <c r="K32" i="15"/>
  <c r="L32" i="15" s="1"/>
  <c r="M32" i="15" s="1"/>
  <c r="K33" i="15"/>
  <c r="L33" i="15" s="1"/>
  <c r="M33" i="15" s="1"/>
  <c r="K34" i="15"/>
  <c r="L34" i="15" s="1"/>
  <c r="M34" i="15" s="1"/>
  <c r="K35" i="15"/>
  <c r="L35" i="15"/>
  <c r="M35" i="15" s="1"/>
  <c r="K36" i="15"/>
  <c r="L36" i="15" s="1"/>
  <c r="M36" i="15" s="1"/>
  <c r="K37" i="15"/>
  <c r="L37" i="15" s="1"/>
  <c r="M37" i="15" s="1"/>
  <c r="K38" i="15"/>
  <c r="L38" i="15" s="1"/>
  <c r="M38" i="15" s="1"/>
  <c r="K3" i="15"/>
  <c r="L3" i="15"/>
  <c r="M3" i="15" s="1"/>
  <c r="C106" i="6"/>
  <c r="D106" i="6"/>
  <c r="E106" i="6"/>
  <c r="F106" i="6"/>
  <c r="G106" i="6"/>
  <c r="H106" i="6"/>
  <c r="I106" i="6"/>
  <c r="J106" i="6"/>
  <c r="C107" i="6"/>
  <c r="D107" i="6"/>
  <c r="E107" i="6"/>
  <c r="F107" i="6"/>
  <c r="G107" i="6"/>
  <c r="H107" i="6"/>
  <c r="I107" i="6"/>
  <c r="J107" i="6"/>
  <c r="C108" i="6"/>
  <c r="D108" i="6"/>
  <c r="E108" i="6"/>
  <c r="F108" i="6"/>
  <c r="G108" i="6"/>
  <c r="H108" i="6"/>
  <c r="I108" i="6"/>
  <c r="J108" i="6"/>
  <c r="C109" i="6"/>
  <c r="D109" i="6"/>
  <c r="E109" i="6"/>
  <c r="F109" i="6"/>
  <c r="G109" i="6"/>
  <c r="H109" i="6"/>
  <c r="I109" i="6"/>
  <c r="J109" i="6"/>
  <c r="C110" i="6"/>
  <c r="D110" i="6"/>
  <c r="E110" i="6"/>
  <c r="F110" i="6"/>
  <c r="G110" i="6"/>
  <c r="H110" i="6"/>
  <c r="I110" i="6"/>
  <c r="J110" i="6"/>
  <c r="C111" i="6"/>
  <c r="D111" i="6"/>
  <c r="E111" i="6"/>
  <c r="F111" i="6"/>
  <c r="G111" i="6"/>
  <c r="H111" i="6"/>
  <c r="I111" i="6"/>
  <c r="J111" i="6"/>
  <c r="C112" i="6"/>
  <c r="D112" i="6"/>
  <c r="E112" i="6"/>
  <c r="F112" i="6"/>
  <c r="G112" i="6"/>
  <c r="H112" i="6"/>
  <c r="I112" i="6"/>
  <c r="J112" i="6"/>
  <c r="C113" i="6"/>
  <c r="D113" i="6"/>
  <c r="E113" i="6"/>
  <c r="F113" i="6"/>
  <c r="G113" i="6"/>
  <c r="H113" i="6"/>
  <c r="I113" i="6"/>
  <c r="J113" i="6"/>
  <c r="C114" i="6"/>
  <c r="D114" i="6"/>
  <c r="E114" i="6"/>
  <c r="F114" i="6"/>
  <c r="G114" i="6"/>
  <c r="H114" i="6"/>
  <c r="I114" i="6"/>
  <c r="J114" i="6"/>
  <c r="C115" i="6"/>
  <c r="D115" i="6"/>
  <c r="E115" i="6"/>
  <c r="F115" i="6"/>
  <c r="G115" i="6"/>
  <c r="H115" i="6"/>
  <c r="I115" i="6"/>
  <c r="J115" i="6"/>
  <c r="C116" i="6"/>
  <c r="D116" i="6"/>
  <c r="E116" i="6"/>
  <c r="F116" i="6"/>
  <c r="G116" i="6"/>
  <c r="H116" i="6"/>
  <c r="I116" i="6"/>
  <c r="J116" i="6"/>
  <c r="C117" i="6"/>
  <c r="D117" i="6"/>
  <c r="E117" i="6"/>
  <c r="F117" i="6"/>
  <c r="G117" i="6"/>
  <c r="H117" i="6"/>
  <c r="I117" i="6"/>
  <c r="J117" i="6"/>
  <c r="C118" i="6"/>
  <c r="D118" i="6"/>
  <c r="E118" i="6"/>
  <c r="F118" i="6"/>
  <c r="G118" i="6"/>
  <c r="H118" i="6"/>
  <c r="I118" i="6"/>
  <c r="J118" i="6"/>
  <c r="C119" i="6"/>
  <c r="D119" i="6"/>
  <c r="E119" i="6"/>
  <c r="F119" i="6"/>
  <c r="G119" i="6"/>
  <c r="H119" i="6"/>
  <c r="I119" i="6"/>
  <c r="J119" i="6"/>
  <c r="C120" i="6"/>
  <c r="D120" i="6"/>
  <c r="E120" i="6"/>
  <c r="F120" i="6"/>
  <c r="G120" i="6"/>
  <c r="H120" i="6"/>
  <c r="I120" i="6"/>
  <c r="J120" i="6"/>
  <c r="C121" i="6"/>
  <c r="D121" i="6"/>
  <c r="E121" i="6"/>
  <c r="F121" i="6"/>
  <c r="G121" i="6"/>
  <c r="H121" i="6"/>
  <c r="I121" i="6"/>
  <c r="J121" i="6"/>
  <c r="C122" i="6"/>
  <c r="D122" i="6"/>
  <c r="E122" i="6"/>
  <c r="F122" i="6"/>
  <c r="G122" i="6"/>
  <c r="H122" i="6"/>
  <c r="I122" i="6"/>
  <c r="J122" i="6"/>
  <c r="C123" i="6"/>
  <c r="D123" i="6"/>
  <c r="E123" i="6"/>
  <c r="F123" i="6"/>
  <c r="G123" i="6"/>
  <c r="H123" i="6"/>
  <c r="I123" i="6"/>
  <c r="J123" i="6"/>
  <c r="C124" i="6"/>
  <c r="D124" i="6"/>
  <c r="E124" i="6"/>
  <c r="F124" i="6"/>
  <c r="G124" i="6"/>
  <c r="H124" i="6"/>
  <c r="I124" i="6"/>
  <c r="J124" i="6"/>
  <c r="C125" i="6"/>
  <c r="D125" i="6"/>
  <c r="E125" i="6"/>
  <c r="F125" i="6"/>
  <c r="G125" i="6"/>
  <c r="H125" i="6"/>
  <c r="I125" i="6"/>
  <c r="J125" i="6"/>
  <c r="C126" i="6"/>
  <c r="D126" i="6"/>
  <c r="E126" i="6"/>
  <c r="F126" i="6"/>
  <c r="G126" i="6"/>
  <c r="H126" i="6"/>
  <c r="I126" i="6"/>
  <c r="J126" i="6"/>
  <c r="C127" i="6"/>
  <c r="D127" i="6"/>
  <c r="E127" i="6"/>
  <c r="F127" i="6"/>
  <c r="G127" i="6"/>
  <c r="H127" i="6"/>
  <c r="I127" i="6"/>
  <c r="J127" i="6"/>
  <c r="C128" i="6"/>
  <c r="D128" i="6"/>
  <c r="E128" i="6"/>
  <c r="F128" i="6"/>
  <c r="G128" i="6"/>
  <c r="H128" i="6"/>
  <c r="I128" i="6"/>
  <c r="J128" i="6"/>
  <c r="C129" i="6"/>
  <c r="D129" i="6"/>
  <c r="E129" i="6"/>
  <c r="F129" i="6"/>
  <c r="G129" i="6"/>
  <c r="H129" i="6"/>
  <c r="I129" i="6"/>
  <c r="J129" i="6"/>
  <c r="C130" i="6"/>
  <c r="D130" i="6"/>
  <c r="E130" i="6"/>
  <c r="F130" i="6"/>
  <c r="G130" i="6"/>
  <c r="H130" i="6"/>
  <c r="I130" i="6"/>
  <c r="J130" i="6"/>
  <c r="C131" i="6"/>
  <c r="D131" i="6"/>
  <c r="E131" i="6"/>
  <c r="F131" i="6"/>
  <c r="G131" i="6"/>
  <c r="H131" i="6"/>
  <c r="I131" i="6"/>
  <c r="J131" i="6"/>
  <c r="C132" i="6"/>
  <c r="D132" i="6"/>
  <c r="E132" i="6"/>
  <c r="F132" i="6"/>
  <c r="G132" i="6"/>
  <c r="H132" i="6"/>
  <c r="I132" i="6"/>
  <c r="J132" i="6"/>
  <c r="C133" i="6"/>
  <c r="D133" i="6"/>
  <c r="E133" i="6"/>
  <c r="F133" i="6"/>
  <c r="G133" i="6"/>
  <c r="H133" i="6"/>
  <c r="I133" i="6"/>
  <c r="J133" i="6"/>
  <c r="C134" i="6"/>
  <c r="D134" i="6"/>
  <c r="E134" i="6"/>
  <c r="F134" i="6"/>
  <c r="G134" i="6"/>
  <c r="H134" i="6"/>
  <c r="I134" i="6"/>
  <c r="J134" i="6"/>
  <c r="C135" i="6"/>
  <c r="D135" i="6"/>
  <c r="E135" i="6"/>
  <c r="F135" i="6"/>
  <c r="G135" i="6"/>
  <c r="H135" i="6"/>
  <c r="I135" i="6"/>
  <c r="J135" i="6"/>
  <c r="C136" i="6"/>
  <c r="D136" i="6"/>
  <c r="E136" i="6"/>
  <c r="F136" i="6"/>
  <c r="G136" i="6"/>
  <c r="H136" i="6"/>
  <c r="I136" i="6"/>
  <c r="J136" i="6"/>
  <c r="C137" i="6"/>
  <c r="D137" i="6"/>
  <c r="E137" i="6"/>
  <c r="F137" i="6"/>
  <c r="G137" i="6"/>
  <c r="H137" i="6"/>
  <c r="I137" i="6"/>
  <c r="J137" i="6"/>
  <c r="C138" i="6"/>
  <c r="D138" i="6"/>
  <c r="E138" i="6"/>
  <c r="F138" i="6"/>
  <c r="G138" i="6"/>
  <c r="H138" i="6"/>
  <c r="I138" i="6"/>
  <c r="J138" i="6"/>
  <c r="C139" i="6"/>
  <c r="D139" i="6"/>
  <c r="E139" i="6"/>
  <c r="F139" i="6"/>
  <c r="G139" i="6"/>
  <c r="H139" i="6"/>
  <c r="I139" i="6"/>
  <c r="J139" i="6"/>
  <c r="C140" i="6"/>
  <c r="D140" i="6"/>
  <c r="E140" i="6"/>
  <c r="F140" i="6"/>
  <c r="G140" i="6"/>
  <c r="H140" i="6"/>
  <c r="I140" i="6"/>
  <c r="J140" i="6"/>
  <c r="C141" i="6"/>
  <c r="D141" i="6"/>
  <c r="E141" i="6"/>
  <c r="F141" i="6"/>
  <c r="G141" i="6"/>
  <c r="H141" i="6"/>
  <c r="I141" i="6"/>
  <c r="J141" i="6"/>
  <c r="C142" i="6"/>
  <c r="D142" i="6"/>
  <c r="E142" i="6"/>
  <c r="F142" i="6"/>
  <c r="G142" i="6"/>
  <c r="H142" i="6"/>
  <c r="I142" i="6"/>
  <c r="J142" i="6"/>
  <c r="C143" i="6"/>
  <c r="D143" i="6"/>
  <c r="E143" i="6"/>
  <c r="F143" i="6"/>
  <c r="G143" i="6"/>
  <c r="H143" i="6"/>
  <c r="I143" i="6"/>
  <c r="J143" i="6"/>
  <c r="C144" i="6"/>
  <c r="D144" i="6"/>
  <c r="E144" i="6"/>
  <c r="F144" i="6"/>
  <c r="G144" i="6"/>
  <c r="H144" i="6"/>
  <c r="I144" i="6"/>
  <c r="J144" i="6"/>
  <c r="C145" i="6"/>
  <c r="D145" i="6"/>
  <c r="E145" i="6"/>
  <c r="F145" i="6"/>
  <c r="G145" i="6"/>
  <c r="H145" i="6"/>
  <c r="I145" i="6"/>
  <c r="J145" i="6"/>
  <c r="C146" i="6"/>
  <c r="D146" i="6"/>
  <c r="E146" i="6"/>
  <c r="F146" i="6"/>
  <c r="G146" i="6"/>
  <c r="H146" i="6"/>
  <c r="I146" i="6"/>
  <c r="J146" i="6"/>
  <c r="C147" i="6"/>
  <c r="D147" i="6"/>
  <c r="E147" i="6"/>
  <c r="F147" i="6"/>
  <c r="G147" i="6"/>
  <c r="H147" i="6"/>
  <c r="I147" i="6"/>
  <c r="J147" i="6"/>
  <c r="C148" i="6"/>
  <c r="D148" i="6"/>
  <c r="E148" i="6"/>
  <c r="F148" i="6"/>
  <c r="G148" i="6"/>
  <c r="H148" i="6"/>
  <c r="I148" i="6"/>
  <c r="J148" i="6"/>
  <c r="C149" i="6"/>
  <c r="D149" i="6"/>
  <c r="E149" i="6"/>
  <c r="F149" i="6"/>
  <c r="G149" i="6"/>
  <c r="H149" i="6"/>
  <c r="I149" i="6"/>
  <c r="J149" i="6"/>
  <c r="C150" i="6"/>
  <c r="D150" i="6"/>
  <c r="E150" i="6"/>
  <c r="F150" i="6"/>
  <c r="G150" i="6"/>
  <c r="H150" i="6"/>
  <c r="I150" i="6"/>
  <c r="J150" i="6"/>
  <c r="C151" i="6"/>
  <c r="D151" i="6"/>
  <c r="E151" i="6"/>
  <c r="F151" i="6"/>
  <c r="G151" i="6"/>
  <c r="H151" i="6"/>
  <c r="I151" i="6"/>
  <c r="J151" i="6"/>
  <c r="C152" i="6"/>
  <c r="D152" i="6"/>
  <c r="E152" i="6"/>
  <c r="F152" i="6"/>
  <c r="G152" i="6"/>
  <c r="H152" i="6"/>
  <c r="I152" i="6"/>
  <c r="J152" i="6"/>
  <c r="C153" i="6"/>
  <c r="D153" i="6"/>
  <c r="E153" i="6"/>
  <c r="F153" i="6"/>
  <c r="G153" i="6"/>
  <c r="H153" i="6"/>
  <c r="I153" i="6"/>
  <c r="J153" i="6"/>
  <c r="C154" i="6"/>
  <c r="D154" i="6"/>
  <c r="E154" i="6"/>
  <c r="F154" i="6"/>
  <c r="G154" i="6"/>
  <c r="H154" i="6"/>
  <c r="I154" i="6"/>
  <c r="J154" i="6"/>
  <c r="C155" i="6"/>
  <c r="D155" i="6"/>
  <c r="E155" i="6"/>
  <c r="F155" i="6"/>
  <c r="G155" i="6"/>
  <c r="H155" i="6"/>
  <c r="I155" i="6"/>
  <c r="J155" i="6"/>
  <c r="C156" i="6"/>
  <c r="D156" i="6"/>
  <c r="E156" i="6"/>
  <c r="F156" i="6"/>
  <c r="G156" i="6"/>
  <c r="H156" i="6"/>
  <c r="I156" i="6"/>
  <c r="J156" i="6"/>
  <c r="A11" i="5"/>
  <c r="A12" i="5" s="1"/>
  <c r="A13" i="5" s="1"/>
  <c r="A14" i="5" s="1"/>
  <c r="F9" i="5"/>
  <c r="G9" i="5" s="1"/>
  <c r="H9" i="5" s="1"/>
  <c r="N7" i="5"/>
  <c r="B2" i="5"/>
  <c r="A11" i="3"/>
  <c r="A12" i="3"/>
  <c r="A13" i="3" s="1"/>
  <c r="A14" i="3" s="1"/>
  <c r="F9" i="3"/>
  <c r="G9" i="3" s="1"/>
  <c r="H9" i="3" s="1"/>
  <c r="N7" i="3"/>
  <c r="B2" i="3"/>
  <c r="A11" i="14"/>
  <c r="A12" i="14" s="1"/>
  <c r="A13" i="14" s="1"/>
  <c r="F9" i="14"/>
  <c r="G9" i="14" s="1"/>
  <c r="H9" i="14" s="1"/>
  <c r="N7" i="14"/>
  <c r="B2" i="14"/>
  <c r="A11" i="12"/>
  <c r="F9" i="12"/>
  <c r="G9" i="12" s="1"/>
  <c r="H9" i="12" s="1"/>
  <c r="N7" i="12"/>
  <c r="B2" i="12"/>
  <c r="A11" i="13"/>
  <c r="F9" i="13"/>
  <c r="G9" i="13" s="1"/>
  <c r="H9" i="13" s="1"/>
  <c r="N7" i="13"/>
  <c r="B2" i="13"/>
  <c r="A11" i="11"/>
  <c r="F9" i="11"/>
  <c r="G9" i="11" s="1"/>
  <c r="H9" i="11" s="1"/>
  <c r="N7" i="11"/>
  <c r="B2" i="11"/>
  <c r="A12" i="12"/>
  <c r="A12" i="13"/>
  <c r="A13" i="13" s="1"/>
  <c r="A14" i="13" s="1"/>
  <c r="A12" i="11"/>
  <c r="A11" i="2"/>
  <c r="A12" i="2" s="1"/>
  <c r="A13" i="2" s="1"/>
  <c r="F9" i="2"/>
  <c r="G9" i="2" s="1"/>
  <c r="H9" i="2" s="1"/>
  <c r="N7" i="2"/>
  <c r="B2" i="2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5" i="5"/>
  <c r="A15" i="3"/>
  <c r="A14" i="14"/>
  <c r="A13" i="12"/>
  <c r="A13" i="11"/>
  <c r="A14" i="11" s="1"/>
  <c r="P4" i="6"/>
  <c r="A16" i="5"/>
  <c r="A16" i="3"/>
  <c r="A17" i="3" s="1"/>
  <c r="A18" i="3" s="1"/>
  <c r="A15" i="14"/>
  <c r="A14" i="12"/>
  <c r="A15" i="12" s="1"/>
  <c r="A16" i="12" s="1"/>
  <c r="A14" i="2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3" i="15"/>
  <c r="F3" i="15"/>
  <c r="F29" i="15"/>
  <c r="F30" i="15"/>
  <c r="F31" i="15"/>
  <c r="F32" i="15"/>
  <c r="F33" i="15"/>
  <c r="F34" i="15"/>
  <c r="F35" i="15"/>
  <c r="F36" i="15"/>
  <c r="F37" i="15"/>
  <c r="F38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20" i="15"/>
  <c r="F21" i="15"/>
  <c r="F22" i="15"/>
  <c r="F23" i="15"/>
  <c r="F24" i="15"/>
  <c r="F25" i="15"/>
  <c r="F26" i="15"/>
  <c r="F27" i="15"/>
  <c r="F28" i="15"/>
  <c r="A17" i="5"/>
  <c r="A18" i="5" s="1"/>
  <c r="A19" i="5" s="1"/>
  <c r="A20" i="5" s="1"/>
  <c r="A21" i="5" s="1"/>
  <c r="A22" i="5" s="1"/>
  <c r="A16" i="14"/>
  <c r="A15" i="13"/>
  <c r="A16" i="13" s="1"/>
  <c r="A17" i="13" s="1"/>
  <c r="A18" i="13" s="1"/>
  <c r="A19" i="13" s="1"/>
  <c r="A20" i="13" s="1"/>
  <c r="H4" i="15"/>
  <c r="H8" i="15"/>
  <c r="H12" i="15"/>
  <c r="H16" i="15"/>
  <c r="H20" i="15"/>
  <c r="H24" i="15"/>
  <c r="H28" i="15"/>
  <c r="H32" i="15"/>
  <c r="H36" i="15"/>
  <c r="B2" i="1"/>
  <c r="F9" i="1"/>
  <c r="G9" i="1" s="1"/>
  <c r="H9" i="1" s="1"/>
  <c r="A17" i="14"/>
  <c r="A18" i="14" s="1"/>
  <c r="A19" i="14" s="1"/>
  <c r="A20" i="14" s="1"/>
  <c r="H38" i="15"/>
  <c r="H34" i="15"/>
  <c r="H30" i="15"/>
  <c r="H26" i="15"/>
  <c r="H22" i="15"/>
  <c r="H18" i="15"/>
  <c r="H14" i="15"/>
  <c r="H10" i="15"/>
  <c r="H6" i="15"/>
  <c r="H3" i="15"/>
  <c r="H37" i="15"/>
  <c r="H35" i="15"/>
  <c r="H33" i="15"/>
  <c r="H31" i="15"/>
  <c r="H29" i="15"/>
  <c r="H27" i="15"/>
  <c r="H25" i="15"/>
  <c r="H23" i="15"/>
  <c r="H21" i="15"/>
  <c r="H19" i="15"/>
  <c r="H17" i="15"/>
  <c r="H15" i="15"/>
  <c r="H13" i="15"/>
  <c r="H11" i="15"/>
  <c r="H9" i="15"/>
  <c r="H7" i="15"/>
  <c r="H5" i="15"/>
  <c r="A19" i="3"/>
  <c r="A17" i="12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20" i="3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21" i="14"/>
  <c r="A22" i="14" s="1"/>
  <c r="A23" i="14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N19" i="6" l="1"/>
  <c r="F19" i="15" s="1"/>
  <c r="N18" i="6"/>
  <c r="N15" i="6" s="1"/>
  <c r="A15" i="11"/>
  <c r="A21" i="13"/>
  <c r="A23" i="5"/>
  <c r="N14" i="6" l="1"/>
  <c r="B10" i="5"/>
  <c r="B10" i="13"/>
  <c r="B10" i="11"/>
  <c r="N20" i="6"/>
  <c r="N21" i="6" s="1"/>
  <c r="B10" i="2" s="1"/>
  <c r="B87" i="1"/>
  <c r="B56" i="1"/>
  <c r="B88" i="1"/>
  <c r="B61" i="1"/>
  <c r="B81" i="1"/>
  <c r="B39" i="2"/>
  <c r="B43" i="1"/>
  <c r="B46" i="1"/>
  <c r="B57" i="2"/>
  <c r="B65" i="2"/>
  <c r="B41" i="1"/>
  <c r="B45" i="2"/>
  <c r="B72" i="2"/>
  <c r="B80" i="2"/>
  <c r="B88" i="2"/>
  <c r="B96" i="2"/>
  <c r="B104" i="2"/>
  <c r="B57" i="1"/>
  <c r="B40" i="1"/>
  <c r="B56" i="2"/>
  <c r="B71" i="2"/>
  <c r="B38" i="2"/>
  <c r="B62" i="2"/>
  <c r="B77" i="2"/>
  <c r="B85" i="2"/>
  <c r="B89" i="2"/>
  <c r="B93" i="2"/>
  <c r="B97" i="2"/>
  <c r="B101" i="2"/>
  <c r="B10" i="3"/>
  <c r="B11" i="3" s="1"/>
  <c r="B12" i="3" s="1"/>
  <c r="B13" i="3" s="1"/>
  <c r="B14" i="3" s="1"/>
  <c r="B10" i="12"/>
  <c r="B10" i="14"/>
  <c r="B11" i="14" s="1"/>
  <c r="B12" i="14" s="1"/>
  <c r="B27" i="3"/>
  <c r="B28" i="3"/>
  <c r="B27" i="12"/>
  <c r="B25" i="3"/>
  <c r="B30" i="3"/>
  <c r="B25" i="14"/>
  <c r="B30" i="14"/>
  <c r="B33" i="3"/>
  <c r="B32" i="14"/>
  <c r="B32" i="12"/>
  <c r="B34" i="3"/>
  <c r="B33" i="12"/>
  <c r="B35" i="3"/>
  <c r="B34" i="14"/>
  <c r="B36" i="3"/>
  <c r="B35" i="12"/>
  <c r="B37" i="3"/>
  <c r="B36" i="14"/>
  <c r="B38" i="3"/>
  <c r="B39" i="3"/>
  <c r="B38" i="14"/>
  <c r="B38" i="12"/>
  <c r="B39" i="12"/>
  <c r="B41" i="3"/>
  <c r="B40" i="14"/>
  <c r="B42" i="3"/>
  <c r="B41" i="14"/>
  <c r="B27" i="14"/>
  <c r="B28" i="14"/>
  <c r="B28" i="12"/>
  <c r="B26" i="3"/>
  <c r="B30" i="12"/>
  <c r="B26" i="12"/>
  <c r="B31" i="14"/>
  <c r="B31" i="12"/>
  <c r="B35" i="14"/>
  <c r="B36" i="12"/>
  <c r="B39" i="14"/>
  <c r="B40" i="12"/>
  <c r="B43" i="14"/>
  <c r="B43" i="12"/>
  <c r="B44" i="12"/>
  <c r="B46" i="3"/>
  <c r="B45" i="12"/>
  <c r="B47" i="3"/>
  <c r="B46" i="14"/>
  <c r="B46" i="12"/>
  <c r="B49" i="3"/>
  <c r="B48" i="14"/>
  <c r="B50" i="3"/>
  <c r="B49" i="12"/>
  <c r="B50" i="14"/>
  <c r="B50" i="12"/>
  <c r="B52" i="3"/>
  <c r="B52" i="14"/>
  <c r="B54" i="3"/>
  <c r="B54" i="12"/>
  <c r="B56" i="3"/>
  <c r="B55" i="12"/>
  <c r="B56" i="14"/>
  <c r="B56" i="12"/>
  <c r="B58" i="3"/>
  <c r="B58" i="14"/>
  <c r="B58" i="12"/>
  <c r="B60" i="3"/>
  <c r="B60" i="14"/>
  <c r="B60" i="12"/>
  <c r="B62" i="3"/>
  <c r="B61" i="12"/>
  <c r="B62" i="14"/>
  <c r="B62" i="12"/>
  <c r="B64" i="3"/>
  <c r="B63" i="12"/>
  <c r="B64" i="14"/>
  <c r="B66" i="3"/>
  <c r="B65" i="12"/>
  <c r="B66" i="14"/>
  <c r="B68" i="3"/>
  <c r="B67" i="12"/>
  <c r="B68" i="14"/>
  <c r="B29" i="3"/>
  <c r="B29" i="14"/>
  <c r="B29" i="12"/>
  <c r="B25" i="12"/>
  <c r="B31" i="3"/>
  <c r="B26" i="14"/>
  <c r="B32" i="3"/>
  <c r="B33" i="14"/>
  <c r="B37" i="14"/>
  <c r="B41" i="12"/>
  <c r="B43" i="3"/>
  <c r="B45" i="3"/>
  <c r="B48" i="3"/>
  <c r="B48" i="12"/>
  <c r="B49" i="14"/>
  <c r="B51" i="14"/>
  <c r="B51" i="12"/>
  <c r="B52" i="12"/>
  <c r="B53" i="14"/>
  <c r="B53" i="12"/>
  <c r="B55" i="3"/>
  <c r="B55" i="14"/>
  <c r="B57" i="3"/>
  <c r="B57" i="14"/>
  <c r="B57" i="12"/>
  <c r="B59" i="3"/>
  <c r="B59" i="14"/>
  <c r="B59" i="12"/>
  <c r="B61" i="3"/>
  <c r="B61" i="14"/>
  <c r="B63" i="3"/>
  <c r="B63" i="14"/>
  <c r="B65" i="3"/>
  <c r="B65" i="14"/>
  <c r="B67" i="3"/>
  <c r="B67" i="14"/>
  <c r="B69" i="3"/>
  <c r="B69" i="14"/>
  <c r="B71" i="3"/>
  <c r="B70" i="12"/>
  <c r="B72" i="3"/>
  <c r="B71" i="14"/>
  <c r="B73" i="3"/>
  <c r="B72" i="12"/>
  <c r="B74" i="3"/>
  <c r="B73" i="14"/>
  <c r="B75" i="3"/>
  <c r="B74" i="12"/>
  <c r="B75" i="14"/>
  <c r="B77" i="3"/>
  <c r="B76" i="12"/>
  <c r="B77" i="14"/>
  <c r="B79" i="3"/>
  <c r="B80" i="3"/>
  <c r="B79" i="14"/>
  <c r="B79" i="12"/>
  <c r="B81" i="3"/>
  <c r="B80" i="14"/>
  <c r="B80" i="12"/>
  <c r="B81" i="14"/>
  <c r="B83" i="3"/>
  <c r="B82" i="12"/>
  <c r="B83" i="14"/>
  <c r="B85" i="3"/>
  <c r="B86" i="3"/>
  <c r="B85" i="14"/>
  <c r="B87" i="3"/>
  <c r="B86" i="14"/>
  <c r="B89" i="3"/>
  <c r="B88" i="14"/>
  <c r="B88" i="12"/>
  <c r="B90" i="3"/>
  <c r="B89" i="14"/>
  <c r="B91" i="3"/>
  <c r="B91" i="14"/>
  <c r="B91" i="12"/>
  <c r="B93" i="3"/>
  <c r="B94" i="3"/>
  <c r="B93" i="14"/>
  <c r="B93" i="12"/>
  <c r="B96" i="3"/>
  <c r="B95" i="14"/>
  <c r="B95" i="12"/>
  <c r="B98" i="3"/>
  <c r="B97" i="14"/>
  <c r="B97" i="12"/>
  <c r="B98" i="12"/>
  <c r="B100" i="3"/>
  <c r="B99" i="14"/>
  <c r="B100" i="14"/>
  <c r="B102" i="3"/>
  <c r="B101" i="12"/>
  <c r="B102" i="14"/>
  <c r="B104" i="3"/>
  <c r="B104" i="14"/>
  <c r="B104" i="12"/>
  <c r="B106" i="3"/>
  <c r="B108" i="3"/>
  <c r="B107" i="3"/>
  <c r="B108" i="14"/>
  <c r="B107" i="12"/>
  <c r="B108" i="12"/>
  <c r="B34" i="12"/>
  <c r="B37" i="12"/>
  <c r="B40" i="3"/>
  <c r="B42" i="12"/>
  <c r="B44" i="3"/>
  <c r="B47" i="14"/>
  <c r="B47" i="12"/>
  <c r="B51" i="3"/>
  <c r="B53" i="3"/>
  <c r="B54" i="14"/>
  <c r="B64" i="12"/>
  <c r="B68" i="12"/>
  <c r="B70" i="3"/>
  <c r="B69" i="12"/>
  <c r="B71" i="12"/>
  <c r="B73" i="12"/>
  <c r="B75" i="12"/>
  <c r="B42" i="14"/>
  <c r="B44" i="14"/>
  <c r="B45" i="14"/>
  <c r="B66" i="12"/>
  <c r="B70" i="14"/>
  <c r="B72" i="14"/>
  <c r="B74" i="14"/>
  <c r="B76" i="3"/>
  <c r="B76" i="14"/>
  <c r="B78" i="3"/>
  <c r="B78" i="14"/>
  <c r="B78" i="12"/>
  <c r="B82" i="3"/>
  <c r="B82" i="14"/>
  <c r="B84" i="3"/>
  <c r="B84" i="14"/>
  <c r="B84" i="12"/>
  <c r="B86" i="12"/>
  <c r="B88" i="3"/>
  <c r="B90" i="14"/>
  <c r="B90" i="12"/>
  <c r="B92" i="3"/>
  <c r="B92" i="14"/>
  <c r="B92" i="12"/>
  <c r="B94" i="14"/>
  <c r="B94" i="12"/>
  <c r="B96" i="14"/>
  <c r="B96" i="12"/>
  <c r="B98" i="14"/>
  <c r="B100" i="12"/>
  <c r="B102" i="12"/>
  <c r="B107" i="14"/>
  <c r="B77" i="12"/>
  <c r="B81" i="12"/>
  <c r="B83" i="12"/>
  <c r="B85" i="12"/>
  <c r="B87" i="14"/>
  <c r="B87" i="12"/>
  <c r="B89" i="12"/>
  <c r="B95" i="3"/>
  <c r="B97" i="3"/>
  <c r="B99" i="3"/>
  <c r="B99" i="12"/>
  <c r="B101" i="3"/>
  <c r="B101" i="14"/>
  <c r="B103" i="3"/>
  <c r="B103" i="14"/>
  <c r="B103" i="12"/>
  <c r="B105" i="3"/>
  <c r="B105" i="14"/>
  <c r="B105" i="12"/>
  <c r="B106" i="14"/>
  <c r="B106" i="12"/>
  <c r="A24" i="5"/>
  <c r="A22" i="13"/>
  <c r="A16" i="11"/>
  <c r="B81" i="2" l="1"/>
  <c r="B107" i="2"/>
  <c r="B54" i="2"/>
  <c r="B37" i="2"/>
  <c r="B64" i="2"/>
  <c r="B49" i="2"/>
  <c r="B106" i="2"/>
  <c r="B100" i="2"/>
  <c r="B92" i="2"/>
  <c r="B84" i="2"/>
  <c r="B76" i="2"/>
  <c r="B68" i="2"/>
  <c r="B43" i="2"/>
  <c r="B61" i="2"/>
  <c r="B53" i="2"/>
  <c r="B50" i="2"/>
  <c r="B42" i="2"/>
  <c r="B93" i="1"/>
  <c r="I93" i="1" s="1"/>
  <c r="B104" i="1"/>
  <c r="B72" i="1"/>
  <c r="B103" i="1"/>
  <c r="B67" i="1"/>
  <c r="B73" i="1"/>
  <c r="G73" i="1" s="1"/>
  <c r="B10" i="1"/>
  <c r="B77" i="1"/>
  <c r="B49" i="1"/>
  <c r="B96" i="1"/>
  <c r="B80" i="1"/>
  <c r="B64" i="1"/>
  <c r="B48" i="1"/>
  <c r="B95" i="1"/>
  <c r="B79" i="1"/>
  <c r="B106" i="1"/>
  <c r="B103" i="2"/>
  <c r="H103" i="2" s="1"/>
  <c r="B99" i="2"/>
  <c r="B95" i="2"/>
  <c r="H95" i="2" s="1"/>
  <c r="B91" i="2"/>
  <c r="B87" i="2"/>
  <c r="K87" i="2" s="1"/>
  <c r="D84" i="6" s="1"/>
  <c r="B83" i="2"/>
  <c r="B79" i="2"/>
  <c r="K79" i="2" s="1"/>
  <c r="D76" i="6" s="1"/>
  <c r="B75" i="2"/>
  <c r="B66" i="2"/>
  <c r="H66" i="2" s="1"/>
  <c r="B58" i="2"/>
  <c r="B47" i="2"/>
  <c r="K47" i="2" s="1"/>
  <c r="D44" i="6" s="1"/>
  <c r="B38" i="1"/>
  <c r="B73" i="2"/>
  <c r="K73" i="2" s="1"/>
  <c r="D70" i="6" s="1"/>
  <c r="B69" i="2"/>
  <c r="B60" i="2"/>
  <c r="F60" i="2" s="1"/>
  <c r="B51" i="2"/>
  <c r="B40" i="2"/>
  <c r="H40" i="2" s="1"/>
  <c r="B108" i="2"/>
  <c r="B105" i="2"/>
  <c r="H105" i="2" s="1"/>
  <c r="B102" i="2"/>
  <c r="B98" i="2"/>
  <c r="M98" i="2" s="1"/>
  <c r="B94" i="2"/>
  <c r="B90" i="2"/>
  <c r="M90" i="2" s="1"/>
  <c r="B86" i="2"/>
  <c r="B82" i="2"/>
  <c r="K82" i="2" s="1"/>
  <c r="D79" i="6" s="1"/>
  <c r="B78" i="2"/>
  <c r="B74" i="2"/>
  <c r="K74" i="2" s="1"/>
  <c r="D71" i="6" s="1"/>
  <c r="B70" i="2"/>
  <c r="B46" i="2"/>
  <c r="M46" i="2" s="1"/>
  <c r="B44" i="2"/>
  <c r="B42" i="1"/>
  <c r="M42" i="1" s="1"/>
  <c r="B39" i="1"/>
  <c r="B67" i="2"/>
  <c r="G67" i="2" s="1"/>
  <c r="B63" i="2"/>
  <c r="B59" i="2"/>
  <c r="G59" i="2" s="1"/>
  <c r="B55" i="2"/>
  <c r="B52" i="2"/>
  <c r="H52" i="2" s="1"/>
  <c r="B45" i="1"/>
  <c r="B44" i="1"/>
  <c r="H44" i="1" s="1"/>
  <c r="B48" i="2"/>
  <c r="B41" i="2"/>
  <c r="H41" i="2" s="1"/>
  <c r="B37" i="1"/>
  <c r="B89" i="1"/>
  <c r="B105" i="1"/>
  <c r="B97" i="1"/>
  <c r="B65" i="1"/>
  <c r="B101" i="1"/>
  <c r="B85" i="1"/>
  <c r="B69" i="1"/>
  <c r="B53" i="1"/>
  <c r="B108" i="1"/>
  <c r="B100" i="1"/>
  <c r="B92" i="1"/>
  <c r="B84" i="1"/>
  <c r="B76" i="1"/>
  <c r="B68" i="1"/>
  <c r="B60" i="1"/>
  <c r="B52" i="1"/>
  <c r="B107" i="1"/>
  <c r="B99" i="1"/>
  <c r="B91" i="1"/>
  <c r="B83" i="1"/>
  <c r="B75" i="1"/>
  <c r="B59" i="1"/>
  <c r="B74" i="1"/>
  <c r="B71" i="1"/>
  <c r="B63" i="1"/>
  <c r="B51" i="1"/>
  <c r="B90" i="1"/>
  <c r="B58" i="1"/>
  <c r="B98" i="1"/>
  <c r="B82" i="1"/>
  <c r="B66" i="1"/>
  <c r="B50" i="1"/>
  <c r="M10" i="13"/>
  <c r="F10" i="13"/>
  <c r="G10" i="13" s="1"/>
  <c r="H10" i="13" s="1"/>
  <c r="B55" i="1"/>
  <c r="B47" i="1"/>
  <c r="B102" i="1"/>
  <c r="B94" i="1"/>
  <c r="B86" i="1"/>
  <c r="B78" i="1"/>
  <c r="B70" i="1"/>
  <c r="B62" i="1"/>
  <c r="B54" i="1"/>
  <c r="M10" i="11"/>
  <c r="F10" i="11"/>
  <c r="G10" i="11" s="1"/>
  <c r="H10" i="11" s="1"/>
  <c r="M10" i="5"/>
  <c r="F10" i="5"/>
  <c r="G10" i="5" s="1"/>
  <c r="H10" i="5" s="1"/>
  <c r="F14" i="3"/>
  <c r="G14" i="3" s="1"/>
  <c r="M14" i="3"/>
  <c r="B15" i="3"/>
  <c r="A23" i="13"/>
  <c r="J105" i="12"/>
  <c r="F105" i="12"/>
  <c r="I105" i="12"/>
  <c r="K105" i="12"/>
  <c r="F102" i="6" s="1"/>
  <c r="H105" i="12"/>
  <c r="M105" i="12"/>
  <c r="G105" i="12"/>
  <c r="M103" i="14"/>
  <c r="K103" i="14"/>
  <c r="H100" i="6" s="1"/>
  <c r="I103" i="14"/>
  <c r="H103" i="14"/>
  <c r="J103" i="14"/>
  <c r="F103" i="14"/>
  <c r="G103" i="14"/>
  <c r="M106" i="14"/>
  <c r="H106" i="14"/>
  <c r="I106" i="14"/>
  <c r="F106" i="14"/>
  <c r="G106" i="14"/>
  <c r="J106" i="14"/>
  <c r="K106" i="14"/>
  <c r="H103" i="6" s="1"/>
  <c r="M105" i="14"/>
  <c r="G105" i="14"/>
  <c r="F105" i="14"/>
  <c r="I105" i="14"/>
  <c r="H105" i="14"/>
  <c r="K105" i="14"/>
  <c r="H102" i="6" s="1"/>
  <c r="J105" i="14"/>
  <c r="J103" i="12"/>
  <c r="I103" i="12"/>
  <c r="H103" i="12"/>
  <c r="K103" i="12"/>
  <c r="F100" i="6" s="1"/>
  <c r="F103" i="12"/>
  <c r="M103" i="12"/>
  <c r="G103" i="12"/>
  <c r="M103" i="3"/>
  <c r="K103" i="3"/>
  <c r="I100" i="6" s="1"/>
  <c r="I103" i="3"/>
  <c r="H103" i="3"/>
  <c r="F103" i="3"/>
  <c r="G103" i="3"/>
  <c r="M101" i="3"/>
  <c r="K101" i="3"/>
  <c r="I98" i="6" s="1"/>
  <c r="I101" i="3"/>
  <c r="H101" i="3"/>
  <c r="F101" i="3"/>
  <c r="G101" i="3"/>
  <c r="M99" i="3"/>
  <c r="K99" i="3"/>
  <c r="I96" i="6" s="1"/>
  <c r="I99" i="3"/>
  <c r="H99" i="3"/>
  <c r="F99" i="3"/>
  <c r="G99" i="3"/>
  <c r="M95" i="3"/>
  <c r="K95" i="3"/>
  <c r="I92" i="6" s="1"/>
  <c r="I95" i="3"/>
  <c r="H95" i="3"/>
  <c r="F95" i="3"/>
  <c r="G95" i="3"/>
  <c r="J87" i="12"/>
  <c r="I87" i="12"/>
  <c r="F87" i="12"/>
  <c r="H87" i="12"/>
  <c r="G87" i="12"/>
  <c r="M87" i="12"/>
  <c r="K87" i="12"/>
  <c r="F84" i="6" s="1"/>
  <c r="J85" i="12"/>
  <c r="I85" i="12"/>
  <c r="F85" i="12"/>
  <c r="H85" i="12"/>
  <c r="G85" i="12"/>
  <c r="M85" i="12"/>
  <c r="K85" i="12"/>
  <c r="F82" i="6" s="1"/>
  <c r="J81" i="12"/>
  <c r="I81" i="12"/>
  <c r="F81" i="12"/>
  <c r="H81" i="12"/>
  <c r="G81" i="12"/>
  <c r="M81" i="12"/>
  <c r="K81" i="12"/>
  <c r="F78" i="6" s="1"/>
  <c r="M107" i="14"/>
  <c r="G107" i="14"/>
  <c r="J107" i="14"/>
  <c r="I107" i="14"/>
  <c r="F107" i="14"/>
  <c r="K107" i="14"/>
  <c r="H104" i="6" s="1"/>
  <c r="H107" i="14"/>
  <c r="J100" i="12"/>
  <c r="I100" i="12"/>
  <c r="F100" i="12"/>
  <c r="M100" i="12"/>
  <c r="K100" i="12"/>
  <c r="F97" i="6" s="1"/>
  <c r="H100" i="12"/>
  <c r="G100" i="12"/>
  <c r="J96" i="12"/>
  <c r="I96" i="12"/>
  <c r="F96" i="12"/>
  <c r="M96" i="12"/>
  <c r="H96" i="12"/>
  <c r="G96" i="12"/>
  <c r="K96" i="12"/>
  <c r="F93" i="6" s="1"/>
  <c r="J94" i="12"/>
  <c r="I94" i="12"/>
  <c r="F94" i="12"/>
  <c r="M94" i="12"/>
  <c r="K94" i="12"/>
  <c r="F91" i="6" s="1"/>
  <c r="H94" i="12"/>
  <c r="G94" i="12"/>
  <c r="J92" i="12"/>
  <c r="I92" i="12"/>
  <c r="F92" i="12"/>
  <c r="M92" i="12"/>
  <c r="K92" i="12"/>
  <c r="F89" i="6" s="1"/>
  <c r="H92" i="12"/>
  <c r="G92" i="12"/>
  <c r="M92" i="3"/>
  <c r="F92" i="3"/>
  <c r="I92" i="3"/>
  <c r="K92" i="3"/>
  <c r="I89" i="6" s="1"/>
  <c r="H92" i="3"/>
  <c r="G92" i="3"/>
  <c r="M90" i="14"/>
  <c r="J90" i="14"/>
  <c r="F90" i="14"/>
  <c r="K90" i="14"/>
  <c r="H87" i="6" s="1"/>
  <c r="G90" i="14"/>
  <c r="I90" i="14"/>
  <c r="H90" i="14"/>
  <c r="J86" i="12"/>
  <c r="I86" i="12"/>
  <c r="F86" i="12"/>
  <c r="M86" i="12"/>
  <c r="K86" i="12"/>
  <c r="F83" i="6" s="1"/>
  <c r="H86" i="12"/>
  <c r="G86" i="12"/>
  <c r="M84" i="14"/>
  <c r="K84" i="14"/>
  <c r="H81" i="6" s="1"/>
  <c r="I84" i="14"/>
  <c r="J84" i="14"/>
  <c r="H84" i="14"/>
  <c r="G84" i="14"/>
  <c r="F84" i="14"/>
  <c r="M82" i="14"/>
  <c r="K82" i="14"/>
  <c r="H79" i="6" s="1"/>
  <c r="I82" i="14"/>
  <c r="H82" i="14"/>
  <c r="F82" i="14"/>
  <c r="G82" i="14"/>
  <c r="J82" i="14"/>
  <c r="J78" i="12"/>
  <c r="I78" i="12"/>
  <c r="F78" i="12"/>
  <c r="M78" i="12"/>
  <c r="K78" i="12"/>
  <c r="F75" i="6" s="1"/>
  <c r="H78" i="12"/>
  <c r="G78" i="12"/>
  <c r="M78" i="3"/>
  <c r="K78" i="3"/>
  <c r="I75" i="6" s="1"/>
  <c r="I78" i="3"/>
  <c r="H78" i="3"/>
  <c r="G78" i="3"/>
  <c r="F78" i="3"/>
  <c r="M76" i="3"/>
  <c r="K76" i="3"/>
  <c r="I73" i="6" s="1"/>
  <c r="I76" i="3"/>
  <c r="H76" i="3"/>
  <c r="F76" i="3"/>
  <c r="G76" i="3"/>
  <c r="M72" i="14"/>
  <c r="K72" i="14"/>
  <c r="H69" i="6" s="1"/>
  <c r="I72" i="14"/>
  <c r="J72" i="14"/>
  <c r="H72" i="14"/>
  <c r="F72" i="14"/>
  <c r="G72" i="14"/>
  <c r="M66" i="12"/>
  <c r="K66" i="12"/>
  <c r="F63" i="6" s="1"/>
  <c r="G66" i="12"/>
  <c r="H66" i="12"/>
  <c r="J66" i="12"/>
  <c r="I66" i="12"/>
  <c r="F66" i="12"/>
  <c r="M44" i="14"/>
  <c r="G44" i="14"/>
  <c r="F44" i="14"/>
  <c r="K44" i="14"/>
  <c r="H41" i="6" s="1"/>
  <c r="J44" i="14"/>
  <c r="I44" i="14"/>
  <c r="H44" i="14"/>
  <c r="J75" i="12"/>
  <c r="I75" i="12"/>
  <c r="F75" i="12"/>
  <c r="K75" i="12"/>
  <c r="F72" i="6" s="1"/>
  <c r="M75" i="12"/>
  <c r="H75" i="12"/>
  <c r="G75" i="12"/>
  <c r="J71" i="12"/>
  <c r="I71" i="12"/>
  <c r="F71" i="12"/>
  <c r="M71" i="12"/>
  <c r="K71" i="12"/>
  <c r="F68" i="6" s="1"/>
  <c r="H71" i="12"/>
  <c r="G71" i="12"/>
  <c r="M70" i="3"/>
  <c r="K70" i="3"/>
  <c r="I67" i="6" s="1"/>
  <c r="I70" i="3"/>
  <c r="H70" i="3"/>
  <c r="F70" i="3"/>
  <c r="G70" i="3"/>
  <c r="M64" i="12"/>
  <c r="K64" i="12"/>
  <c r="F61" i="6" s="1"/>
  <c r="G64" i="12"/>
  <c r="F64" i="12"/>
  <c r="H64" i="12"/>
  <c r="J64" i="12"/>
  <c r="I64" i="12"/>
  <c r="M53" i="3"/>
  <c r="F53" i="3"/>
  <c r="K53" i="3"/>
  <c r="I50" i="6" s="1"/>
  <c r="G53" i="3"/>
  <c r="I53" i="3"/>
  <c r="H53" i="3"/>
  <c r="J47" i="12"/>
  <c r="I47" i="12"/>
  <c r="H47" i="12"/>
  <c r="K47" i="12"/>
  <c r="F44" i="6" s="1"/>
  <c r="F47" i="12"/>
  <c r="M47" i="12"/>
  <c r="G47" i="12"/>
  <c r="M44" i="3"/>
  <c r="G44" i="3"/>
  <c r="F44" i="3"/>
  <c r="K44" i="3"/>
  <c r="I41" i="6" s="1"/>
  <c r="H44" i="3"/>
  <c r="I44" i="3"/>
  <c r="M40" i="3"/>
  <c r="K40" i="3"/>
  <c r="I37" i="6" s="1"/>
  <c r="I40" i="3"/>
  <c r="H40" i="3"/>
  <c r="G40" i="3"/>
  <c r="F40" i="3"/>
  <c r="J34" i="12"/>
  <c r="F34" i="12"/>
  <c r="M34" i="12"/>
  <c r="K34" i="12"/>
  <c r="F31" i="6" s="1"/>
  <c r="H34" i="12"/>
  <c r="I34" i="12"/>
  <c r="G34" i="12"/>
  <c r="M107" i="12"/>
  <c r="H107" i="12"/>
  <c r="J107" i="12"/>
  <c r="I107" i="12"/>
  <c r="G107" i="12"/>
  <c r="K107" i="12"/>
  <c r="F104" i="6" s="1"/>
  <c r="F107" i="12"/>
  <c r="G107" i="3"/>
  <c r="K107" i="3"/>
  <c r="I104" i="6" s="1"/>
  <c r="H107" i="3"/>
  <c r="M107" i="3"/>
  <c r="I107" i="3"/>
  <c r="F107" i="3"/>
  <c r="F106" i="3"/>
  <c r="K106" i="3"/>
  <c r="I103" i="6" s="1"/>
  <c r="G106" i="3"/>
  <c r="M106" i="3"/>
  <c r="H106" i="3"/>
  <c r="I106" i="3"/>
  <c r="H104" i="14"/>
  <c r="K104" i="14"/>
  <c r="H101" i="6" s="1"/>
  <c r="G104" i="14"/>
  <c r="M104" i="14"/>
  <c r="J104" i="14"/>
  <c r="F104" i="14"/>
  <c r="I104" i="14"/>
  <c r="H102" i="14"/>
  <c r="I102" i="14"/>
  <c r="K102" i="14"/>
  <c r="H99" i="6" s="1"/>
  <c r="M102" i="14"/>
  <c r="J102" i="14"/>
  <c r="G102" i="14"/>
  <c r="F102" i="14"/>
  <c r="H102" i="3"/>
  <c r="I102" i="3"/>
  <c r="K102" i="3"/>
  <c r="I99" i="6" s="1"/>
  <c r="M102" i="3"/>
  <c r="G102" i="3"/>
  <c r="F102" i="3"/>
  <c r="K99" i="14"/>
  <c r="H96" i="6" s="1"/>
  <c r="I99" i="14"/>
  <c r="H99" i="14"/>
  <c r="F99" i="14"/>
  <c r="J99" i="14"/>
  <c r="M99" i="14"/>
  <c r="G99" i="14"/>
  <c r="J98" i="12"/>
  <c r="I98" i="12"/>
  <c r="F98" i="12"/>
  <c r="K98" i="12"/>
  <c r="F95" i="6" s="1"/>
  <c r="M98" i="12"/>
  <c r="G98" i="12"/>
  <c r="H98" i="12"/>
  <c r="G97" i="14"/>
  <c r="F97" i="14"/>
  <c r="I97" i="14"/>
  <c r="H97" i="14"/>
  <c r="M97" i="14"/>
  <c r="K97" i="14"/>
  <c r="H94" i="6" s="1"/>
  <c r="J97" i="14"/>
  <c r="J95" i="12"/>
  <c r="I95" i="12"/>
  <c r="H95" i="12"/>
  <c r="G95" i="12"/>
  <c r="M95" i="12"/>
  <c r="K95" i="12"/>
  <c r="F92" i="6" s="1"/>
  <c r="F95" i="12"/>
  <c r="H96" i="3"/>
  <c r="K96" i="3"/>
  <c r="I93" i="6" s="1"/>
  <c r="G96" i="3"/>
  <c r="M96" i="3"/>
  <c r="F96" i="3"/>
  <c r="I96" i="3"/>
  <c r="G93" i="14"/>
  <c r="F93" i="14"/>
  <c r="I93" i="14"/>
  <c r="H93" i="14"/>
  <c r="M93" i="14"/>
  <c r="K93" i="14"/>
  <c r="H90" i="6" s="1"/>
  <c r="J93" i="14"/>
  <c r="K93" i="3"/>
  <c r="I90" i="6" s="1"/>
  <c r="I93" i="3"/>
  <c r="H93" i="3"/>
  <c r="F93" i="3"/>
  <c r="M93" i="3"/>
  <c r="G93" i="3"/>
  <c r="G91" i="14"/>
  <c r="J91" i="14"/>
  <c r="I91" i="14"/>
  <c r="F91" i="14"/>
  <c r="M91" i="14"/>
  <c r="K91" i="14"/>
  <c r="H88" i="6" s="1"/>
  <c r="H91" i="14"/>
  <c r="H89" i="14"/>
  <c r="I89" i="14"/>
  <c r="F89" i="14"/>
  <c r="G89" i="14"/>
  <c r="M89" i="14"/>
  <c r="J89" i="14"/>
  <c r="K89" i="14"/>
  <c r="H86" i="6" s="1"/>
  <c r="J88" i="12"/>
  <c r="I88" i="12"/>
  <c r="H88" i="12"/>
  <c r="M88" i="12"/>
  <c r="G88" i="12"/>
  <c r="K88" i="12"/>
  <c r="F85" i="6" s="1"/>
  <c r="F88" i="12"/>
  <c r="F89" i="3"/>
  <c r="K89" i="3"/>
  <c r="I86" i="6" s="1"/>
  <c r="G89" i="3"/>
  <c r="H89" i="3"/>
  <c r="M89" i="3"/>
  <c r="I89" i="3"/>
  <c r="H87" i="3"/>
  <c r="K87" i="3"/>
  <c r="I84" i="6" s="1"/>
  <c r="G87" i="3"/>
  <c r="F87" i="3"/>
  <c r="I87" i="3"/>
  <c r="M87" i="3"/>
  <c r="K86" i="3"/>
  <c r="I83" i="6" s="1"/>
  <c r="I86" i="3"/>
  <c r="H86" i="3"/>
  <c r="M86" i="3"/>
  <c r="G86" i="3"/>
  <c r="F86" i="3"/>
  <c r="H83" i="14"/>
  <c r="K83" i="14"/>
  <c r="H80" i="6" s="1"/>
  <c r="G83" i="14"/>
  <c r="F83" i="14"/>
  <c r="I83" i="14"/>
  <c r="M83" i="14"/>
  <c r="J83" i="14"/>
  <c r="H83" i="3"/>
  <c r="K83" i="3"/>
  <c r="I80" i="6" s="1"/>
  <c r="G83" i="3"/>
  <c r="F83" i="3"/>
  <c r="I83" i="3"/>
  <c r="M83" i="3"/>
  <c r="J80" i="12"/>
  <c r="I80" i="12"/>
  <c r="H80" i="12"/>
  <c r="M80" i="12"/>
  <c r="K80" i="12"/>
  <c r="F77" i="6" s="1"/>
  <c r="F80" i="12"/>
  <c r="G80" i="12"/>
  <c r="H81" i="3"/>
  <c r="I81" i="3"/>
  <c r="F81" i="3"/>
  <c r="G81" i="3"/>
  <c r="M81" i="3"/>
  <c r="K81" i="3"/>
  <c r="I78" i="6" s="1"/>
  <c r="J79" i="14"/>
  <c r="F79" i="14"/>
  <c r="I79" i="14"/>
  <c r="H79" i="14"/>
  <c r="G79" i="14"/>
  <c r="M79" i="14"/>
  <c r="K79" i="14"/>
  <c r="H76" i="6" s="1"/>
  <c r="F79" i="3"/>
  <c r="I79" i="3"/>
  <c r="H79" i="3"/>
  <c r="G79" i="3"/>
  <c r="M79" i="3"/>
  <c r="K79" i="3"/>
  <c r="I76" i="6" s="1"/>
  <c r="J76" i="12"/>
  <c r="I76" i="12"/>
  <c r="H76" i="12"/>
  <c r="M76" i="12"/>
  <c r="G76" i="12"/>
  <c r="K76" i="12"/>
  <c r="F73" i="6" s="1"/>
  <c r="F76" i="12"/>
  <c r="H75" i="14"/>
  <c r="K75" i="14"/>
  <c r="H72" i="6" s="1"/>
  <c r="G75" i="14"/>
  <c r="M75" i="14"/>
  <c r="J75" i="14"/>
  <c r="I75" i="14"/>
  <c r="F75" i="14"/>
  <c r="H75" i="3"/>
  <c r="K75" i="3"/>
  <c r="I72" i="6" s="1"/>
  <c r="G75" i="3"/>
  <c r="M75" i="3"/>
  <c r="F75" i="3"/>
  <c r="I75" i="3"/>
  <c r="K74" i="3"/>
  <c r="I71" i="6" s="1"/>
  <c r="I74" i="3"/>
  <c r="H74" i="3"/>
  <c r="F74" i="3"/>
  <c r="M74" i="3"/>
  <c r="G74" i="3"/>
  <c r="F73" i="3"/>
  <c r="K73" i="3"/>
  <c r="I70" i="6" s="1"/>
  <c r="G73" i="3"/>
  <c r="M73" i="3"/>
  <c r="I73" i="3"/>
  <c r="H73" i="3"/>
  <c r="K72" i="3"/>
  <c r="I69" i="6" s="1"/>
  <c r="I72" i="3"/>
  <c r="H72" i="3"/>
  <c r="F72" i="3"/>
  <c r="M72" i="3"/>
  <c r="G72" i="3"/>
  <c r="F71" i="3"/>
  <c r="I71" i="3"/>
  <c r="M71" i="3"/>
  <c r="K71" i="3"/>
  <c r="I68" i="6" s="1"/>
  <c r="H71" i="3"/>
  <c r="G71" i="3"/>
  <c r="M69" i="3"/>
  <c r="H69" i="3"/>
  <c r="I69" i="3"/>
  <c r="K69" i="3"/>
  <c r="I66" i="6" s="1"/>
  <c r="F69" i="3"/>
  <c r="G69" i="3"/>
  <c r="M67" i="3"/>
  <c r="F67" i="3"/>
  <c r="I67" i="3"/>
  <c r="K67" i="3"/>
  <c r="I64" i="6" s="1"/>
  <c r="H67" i="3"/>
  <c r="G67" i="3"/>
  <c r="M65" i="3"/>
  <c r="F65" i="3"/>
  <c r="K65" i="3"/>
  <c r="I62" i="6" s="1"/>
  <c r="G65" i="3"/>
  <c r="I65" i="3"/>
  <c r="H65" i="3"/>
  <c r="M63" i="3"/>
  <c r="F63" i="3"/>
  <c r="I63" i="3"/>
  <c r="K63" i="3"/>
  <c r="I60" i="6" s="1"/>
  <c r="H63" i="3"/>
  <c r="G63" i="3"/>
  <c r="M61" i="3"/>
  <c r="F61" i="3"/>
  <c r="K61" i="3"/>
  <c r="I58" i="6" s="1"/>
  <c r="G61" i="3"/>
  <c r="I61" i="3"/>
  <c r="H61" i="3"/>
  <c r="M59" i="14"/>
  <c r="J59" i="14"/>
  <c r="F59" i="14"/>
  <c r="I59" i="14"/>
  <c r="K59" i="14"/>
  <c r="H56" i="6" s="1"/>
  <c r="H59" i="14"/>
  <c r="G59" i="14"/>
  <c r="M57" i="12"/>
  <c r="K57" i="12"/>
  <c r="F54" i="6" s="1"/>
  <c r="G57" i="12"/>
  <c r="H57" i="12"/>
  <c r="J57" i="12"/>
  <c r="I57" i="12"/>
  <c r="F57" i="12"/>
  <c r="M57" i="3"/>
  <c r="F57" i="3"/>
  <c r="K57" i="3"/>
  <c r="I54" i="6" s="1"/>
  <c r="G57" i="3"/>
  <c r="I57" i="3"/>
  <c r="H57" i="3"/>
  <c r="M55" i="3"/>
  <c r="F55" i="3"/>
  <c r="I55" i="3"/>
  <c r="K55" i="3"/>
  <c r="I52" i="6" s="1"/>
  <c r="H55" i="3"/>
  <c r="G55" i="3"/>
  <c r="M53" i="14"/>
  <c r="H53" i="14"/>
  <c r="I53" i="14"/>
  <c r="F53" i="14"/>
  <c r="G53" i="14"/>
  <c r="J53" i="14"/>
  <c r="K53" i="14"/>
  <c r="H50" i="6" s="1"/>
  <c r="J51" i="12"/>
  <c r="I51" i="12"/>
  <c r="H51" i="12"/>
  <c r="G51" i="12"/>
  <c r="F51" i="12"/>
  <c r="M51" i="12"/>
  <c r="K51" i="12"/>
  <c r="F48" i="6" s="1"/>
  <c r="M49" i="14"/>
  <c r="J49" i="14"/>
  <c r="F49" i="14"/>
  <c r="K49" i="14"/>
  <c r="H46" i="6" s="1"/>
  <c r="G49" i="14"/>
  <c r="H49" i="14"/>
  <c r="I49" i="14"/>
  <c r="M48" i="3"/>
  <c r="K48" i="3"/>
  <c r="I45" i="6" s="1"/>
  <c r="I48" i="3"/>
  <c r="H48" i="3"/>
  <c r="G48" i="3"/>
  <c r="F48" i="3"/>
  <c r="M43" i="3"/>
  <c r="H43" i="3"/>
  <c r="K43" i="3"/>
  <c r="I40" i="6" s="1"/>
  <c r="G43" i="3"/>
  <c r="F43" i="3"/>
  <c r="I43" i="3"/>
  <c r="M37" i="14"/>
  <c r="J37" i="14"/>
  <c r="F37" i="14"/>
  <c r="K37" i="14"/>
  <c r="H34" i="6" s="1"/>
  <c r="G37" i="14"/>
  <c r="I37" i="14"/>
  <c r="H37" i="14"/>
  <c r="M32" i="3"/>
  <c r="K32" i="3"/>
  <c r="I29" i="6" s="1"/>
  <c r="I32" i="3"/>
  <c r="H32" i="3"/>
  <c r="G32" i="3"/>
  <c r="F32" i="3"/>
  <c r="M31" i="3"/>
  <c r="H31" i="3"/>
  <c r="K31" i="3"/>
  <c r="I28" i="6" s="1"/>
  <c r="G31" i="3"/>
  <c r="F31" i="3"/>
  <c r="I31" i="3"/>
  <c r="M29" i="12"/>
  <c r="I29" i="12"/>
  <c r="K29" i="12"/>
  <c r="F26" i="6" s="1"/>
  <c r="G29" i="12"/>
  <c r="H29" i="12"/>
  <c r="F29" i="12"/>
  <c r="J29" i="12"/>
  <c r="M29" i="3"/>
  <c r="F29" i="3"/>
  <c r="K29" i="3"/>
  <c r="I26" i="6" s="1"/>
  <c r="G29" i="3"/>
  <c r="H29" i="3"/>
  <c r="I29" i="3"/>
  <c r="F12" i="14"/>
  <c r="G12" i="14" s="1"/>
  <c r="M12" i="14"/>
  <c r="M67" i="12"/>
  <c r="J67" i="12"/>
  <c r="I67" i="12"/>
  <c r="F67" i="12"/>
  <c r="K67" i="12"/>
  <c r="F64" i="6" s="1"/>
  <c r="G67" i="12"/>
  <c r="H67" i="12"/>
  <c r="G66" i="14"/>
  <c r="J66" i="14"/>
  <c r="M66" i="14"/>
  <c r="K66" i="14"/>
  <c r="H63" i="6" s="1"/>
  <c r="H66" i="14"/>
  <c r="I66" i="14"/>
  <c r="F66" i="14"/>
  <c r="G66" i="3"/>
  <c r="M66" i="3"/>
  <c r="K66" i="3"/>
  <c r="I63" i="6" s="1"/>
  <c r="H66" i="3"/>
  <c r="I66" i="3"/>
  <c r="F66" i="3"/>
  <c r="M63" i="12"/>
  <c r="H63" i="12"/>
  <c r="K63" i="12"/>
  <c r="F60" i="6" s="1"/>
  <c r="G63" i="12"/>
  <c r="J63" i="12"/>
  <c r="I63" i="12"/>
  <c r="F63" i="12"/>
  <c r="M62" i="12"/>
  <c r="K62" i="12"/>
  <c r="F59" i="6" s="1"/>
  <c r="G62" i="12"/>
  <c r="H62" i="12"/>
  <c r="J62" i="12"/>
  <c r="I62" i="12"/>
  <c r="F62" i="12"/>
  <c r="M61" i="12"/>
  <c r="K61" i="12"/>
  <c r="F58" i="6" s="1"/>
  <c r="G61" i="12"/>
  <c r="F61" i="12"/>
  <c r="J61" i="12"/>
  <c r="I61" i="12"/>
  <c r="H61" i="12"/>
  <c r="M60" i="12"/>
  <c r="H60" i="12"/>
  <c r="K60" i="12"/>
  <c r="F57" i="6" s="1"/>
  <c r="G60" i="12"/>
  <c r="J60" i="12"/>
  <c r="I60" i="12"/>
  <c r="F60" i="12"/>
  <c r="G60" i="3"/>
  <c r="F60" i="3"/>
  <c r="M60" i="3"/>
  <c r="K60" i="3"/>
  <c r="I57" i="6" s="1"/>
  <c r="H60" i="3"/>
  <c r="I60" i="3"/>
  <c r="G58" i="14"/>
  <c r="J58" i="14"/>
  <c r="M58" i="14"/>
  <c r="K58" i="14"/>
  <c r="H55" i="6" s="1"/>
  <c r="H58" i="14"/>
  <c r="I58" i="14"/>
  <c r="F58" i="14"/>
  <c r="M56" i="12"/>
  <c r="H56" i="12"/>
  <c r="K56" i="12"/>
  <c r="F53" i="6" s="1"/>
  <c r="G56" i="12"/>
  <c r="J56" i="12"/>
  <c r="I56" i="12"/>
  <c r="F56" i="12"/>
  <c r="M55" i="12"/>
  <c r="K55" i="12"/>
  <c r="F52" i="6" s="1"/>
  <c r="G55" i="12"/>
  <c r="F55" i="12"/>
  <c r="J55" i="12"/>
  <c r="I55" i="12"/>
  <c r="H55" i="12"/>
  <c r="M54" i="12"/>
  <c r="H54" i="12"/>
  <c r="K54" i="12"/>
  <c r="F51" i="6" s="1"/>
  <c r="G54" i="12"/>
  <c r="J54" i="12"/>
  <c r="I54" i="12"/>
  <c r="F54" i="12"/>
  <c r="G52" i="14"/>
  <c r="F52" i="14"/>
  <c r="M52" i="14"/>
  <c r="I52" i="14"/>
  <c r="H52" i="14"/>
  <c r="J52" i="14"/>
  <c r="K52" i="14"/>
  <c r="H49" i="6" s="1"/>
  <c r="J50" i="12"/>
  <c r="I50" i="12"/>
  <c r="F50" i="12"/>
  <c r="K50" i="12"/>
  <c r="F47" i="6" s="1"/>
  <c r="G50" i="12"/>
  <c r="M50" i="12"/>
  <c r="H50" i="12"/>
  <c r="J49" i="12"/>
  <c r="I49" i="12"/>
  <c r="F49" i="12"/>
  <c r="G49" i="12"/>
  <c r="H49" i="12"/>
  <c r="M49" i="12"/>
  <c r="K49" i="12"/>
  <c r="F46" i="6" s="1"/>
  <c r="G48" i="14"/>
  <c r="F48" i="14"/>
  <c r="M48" i="14"/>
  <c r="I48" i="14"/>
  <c r="H48" i="14"/>
  <c r="K48" i="14"/>
  <c r="H45" i="6" s="1"/>
  <c r="J48" i="14"/>
  <c r="J46" i="12"/>
  <c r="I46" i="12"/>
  <c r="F46" i="12"/>
  <c r="M46" i="12"/>
  <c r="K46" i="12"/>
  <c r="F43" i="6" s="1"/>
  <c r="H46" i="12"/>
  <c r="G46" i="12"/>
  <c r="H47" i="3"/>
  <c r="K47" i="3"/>
  <c r="I44" i="6" s="1"/>
  <c r="G47" i="3"/>
  <c r="F47" i="3"/>
  <c r="I47" i="3"/>
  <c r="M47" i="3"/>
  <c r="K46" i="3"/>
  <c r="I43" i="6" s="1"/>
  <c r="I46" i="3"/>
  <c r="H46" i="3"/>
  <c r="F46" i="3"/>
  <c r="M46" i="3"/>
  <c r="G46" i="3"/>
  <c r="M43" i="12"/>
  <c r="H43" i="12"/>
  <c r="J43" i="12"/>
  <c r="I43" i="12"/>
  <c r="G43" i="12"/>
  <c r="K43" i="12"/>
  <c r="F40" i="6" s="1"/>
  <c r="F43" i="12"/>
  <c r="J40" i="12"/>
  <c r="I40" i="12"/>
  <c r="H40" i="12"/>
  <c r="K40" i="12"/>
  <c r="F37" i="6" s="1"/>
  <c r="G40" i="12"/>
  <c r="M40" i="12"/>
  <c r="F40" i="12"/>
  <c r="J36" i="12"/>
  <c r="F36" i="12"/>
  <c r="I36" i="12"/>
  <c r="K36" i="12"/>
  <c r="F33" i="6" s="1"/>
  <c r="H36" i="12"/>
  <c r="M36" i="12"/>
  <c r="G36" i="12"/>
  <c r="M31" i="12"/>
  <c r="I31" i="12"/>
  <c r="K31" i="12"/>
  <c r="F28" i="6" s="1"/>
  <c r="G31" i="12"/>
  <c r="F31" i="12"/>
  <c r="H31" i="12"/>
  <c r="J31" i="12"/>
  <c r="M26" i="12"/>
  <c r="G26" i="12"/>
  <c r="H26" i="12"/>
  <c r="F26" i="12"/>
  <c r="J26" i="12"/>
  <c r="I26" i="12"/>
  <c r="K26" i="12"/>
  <c r="F23" i="6" s="1"/>
  <c r="F26" i="3"/>
  <c r="H26" i="3"/>
  <c r="M26" i="3"/>
  <c r="G26" i="3"/>
  <c r="K26" i="3"/>
  <c r="I23" i="6" s="1"/>
  <c r="I26" i="3"/>
  <c r="M28" i="14"/>
  <c r="G28" i="14"/>
  <c r="F28" i="14"/>
  <c r="K28" i="14"/>
  <c r="H25" i="6" s="1"/>
  <c r="J28" i="14"/>
  <c r="H28" i="14"/>
  <c r="I28" i="14"/>
  <c r="M27" i="14"/>
  <c r="H27" i="14"/>
  <c r="K27" i="14"/>
  <c r="H24" i="6" s="1"/>
  <c r="G27" i="14"/>
  <c r="J27" i="14"/>
  <c r="I27" i="14"/>
  <c r="F27" i="14"/>
  <c r="M41" i="14"/>
  <c r="H41" i="14"/>
  <c r="I41" i="14"/>
  <c r="F41" i="14"/>
  <c r="G41" i="14"/>
  <c r="K41" i="14"/>
  <c r="H38" i="6" s="1"/>
  <c r="J41" i="14"/>
  <c r="K40" i="14"/>
  <c r="H37" i="6" s="1"/>
  <c r="I40" i="14"/>
  <c r="J40" i="14"/>
  <c r="H40" i="14"/>
  <c r="M40" i="14"/>
  <c r="G40" i="14"/>
  <c r="F40" i="14"/>
  <c r="M39" i="12"/>
  <c r="I39" i="12"/>
  <c r="K39" i="12"/>
  <c r="F36" i="6" s="1"/>
  <c r="G39" i="12"/>
  <c r="F39" i="12"/>
  <c r="J39" i="12"/>
  <c r="H39" i="12"/>
  <c r="G38" i="14"/>
  <c r="J38" i="14"/>
  <c r="K38" i="14"/>
  <c r="H35" i="6" s="1"/>
  <c r="H38" i="14"/>
  <c r="I38" i="14"/>
  <c r="M38" i="14"/>
  <c r="F38" i="14"/>
  <c r="K38" i="3"/>
  <c r="I35" i="6" s="1"/>
  <c r="I38" i="3"/>
  <c r="H38" i="3"/>
  <c r="F38" i="3"/>
  <c r="M38" i="3"/>
  <c r="G38" i="3"/>
  <c r="F37" i="3"/>
  <c r="K37" i="3"/>
  <c r="I34" i="6" s="1"/>
  <c r="G37" i="3"/>
  <c r="H37" i="3"/>
  <c r="M37" i="3"/>
  <c r="I37" i="3"/>
  <c r="K36" i="3"/>
  <c r="I33" i="6" s="1"/>
  <c r="I36" i="3"/>
  <c r="H36" i="3"/>
  <c r="M36" i="3"/>
  <c r="G36" i="3"/>
  <c r="F36" i="3"/>
  <c r="F35" i="3"/>
  <c r="I35" i="3"/>
  <c r="M35" i="3"/>
  <c r="K35" i="3"/>
  <c r="I32" i="6" s="1"/>
  <c r="G35" i="3"/>
  <c r="H35" i="3"/>
  <c r="K34" i="3"/>
  <c r="I31" i="6" s="1"/>
  <c r="I34" i="3"/>
  <c r="H34" i="3"/>
  <c r="F34" i="3"/>
  <c r="M34" i="3"/>
  <c r="G34" i="3"/>
  <c r="G32" i="14"/>
  <c r="F32" i="14"/>
  <c r="M32" i="14"/>
  <c r="I32" i="14"/>
  <c r="H32" i="14"/>
  <c r="K32" i="14"/>
  <c r="H29" i="6" s="1"/>
  <c r="J32" i="14"/>
  <c r="G30" i="14"/>
  <c r="J30" i="14"/>
  <c r="M30" i="14"/>
  <c r="K30" i="14"/>
  <c r="H27" i="6" s="1"/>
  <c r="H30" i="14"/>
  <c r="F30" i="14"/>
  <c r="I30" i="14"/>
  <c r="G30" i="3"/>
  <c r="M30" i="3"/>
  <c r="K30" i="3"/>
  <c r="I27" i="6" s="1"/>
  <c r="H30" i="3"/>
  <c r="F30" i="3"/>
  <c r="I30" i="3"/>
  <c r="G28" i="3"/>
  <c r="F28" i="3"/>
  <c r="I28" i="3"/>
  <c r="H28" i="3"/>
  <c r="K28" i="3"/>
  <c r="I25" i="6" s="1"/>
  <c r="M28" i="3"/>
  <c r="F27" i="3"/>
  <c r="I27" i="3"/>
  <c r="K27" i="3"/>
  <c r="I24" i="6" s="1"/>
  <c r="H27" i="3"/>
  <c r="M27" i="3"/>
  <c r="G27" i="3"/>
  <c r="B13" i="14"/>
  <c r="F12" i="3"/>
  <c r="M12" i="3"/>
  <c r="G12" i="3"/>
  <c r="M11" i="3"/>
  <c r="F11" i="3"/>
  <c r="G11" i="3" s="1"/>
  <c r="M10" i="14"/>
  <c r="F10" i="14"/>
  <c r="G10" i="14" s="1"/>
  <c r="H10" i="14" s="1"/>
  <c r="M10" i="3"/>
  <c r="F10" i="3"/>
  <c r="G10" i="3" s="1"/>
  <c r="H10" i="3" s="1"/>
  <c r="K99" i="2"/>
  <c r="D96" i="6" s="1"/>
  <c r="H99" i="2"/>
  <c r="J99" i="2"/>
  <c r="K91" i="2"/>
  <c r="D88" i="6" s="1"/>
  <c r="H91" i="2"/>
  <c r="J91" i="2"/>
  <c r="M83" i="2"/>
  <c r="K83" i="2"/>
  <c r="D80" i="6" s="1"/>
  <c r="J83" i="2"/>
  <c r="M75" i="2"/>
  <c r="K75" i="2"/>
  <c r="D72" i="6" s="1"/>
  <c r="J75" i="2"/>
  <c r="K58" i="2"/>
  <c r="D55" i="6" s="1"/>
  <c r="H58" i="2"/>
  <c r="J58" i="2"/>
  <c r="H38" i="1"/>
  <c r="G38" i="1"/>
  <c r="K38" i="1"/>
  <c r="C35" i="6" s="1"/>
  <c r="M69" i="2"/>
  <c r="G69" i="2"/>
  <c r="J69" i="2"/>
  <c r="M51" i="2"/>
  <c r="K51" i="2"/>
  <c r="D48" i="6" s="1"/>
  <c r="F51" i="2"/>
  <c r="F108" i="2"/>
  <c r="K108" i="2"/>
  <c r="D105" i="6" s="1"/>
  <c r="H108" i="2"/>
  <c r="F102" i="2"/>
  <c r="I102" i="2"/>
  <c r="G102" i="2"/>
  <c r="F94" i="2"/>
  <c r="I94" i="2"/>
  <c r="G94" i="2"/>
  <c r="F86" i="2"/>
  <c r="K86" i="2"/>
  <c r="D83" i="6" s="1"/>
  <c r="G86" i="2"/>
  <c r="F78" i="2"/>
  <c r="K78" i="2"/>
  <c r="D75" i="6" s="1"/>
  <c r="G78" i="2"/>
  <c r="F70" i="2"/>
  <c r="J70" i="2"/>
  <c r="K70" i="2"/>
  <c r="D67" i="6" s="1"/>
  <c r="G44" i="2"/>
  <c r="H44" i="2"/>
  <c r="I44" i="2"/>
  <c r="H39" i="1"/>
  <c r="M39" i="1"/>
  <c r="K39" i="1"/>
  <c r="C36" i="6" s="1"/>
  <c r="F63" i="2"/>
  <c r="G63" i="2"/>
  <c r="I63" i="2"/>
  <c r="F55" i="2"/>
  <c r="G55" i="2"/>
  <c r="I55" i="2"/>
  <c r="H45" i="1"/>
  <c r="M45" i="1"/>
  <c r="K45" i="1"/>
  <c r="C42" i="6" s="1"/>
  <c r="M48" i="2"/>
  <c r="F48" i="2"/>
  <c r="I48" i="2"/>
  <c r="H37" i="1"/>
  <c r="M37" i="1"/>
  <c r="I37" i="1"/>
  <c r="H73" i="1"/>
  <c r="K73" i="1"/>
  <c r="C70" i="6" s="1"/>
  <c r="I73" i="1"/>
  <c r="M73" i="1"/>
  <c r="F73" i="1"/>
  <c r="J73" i="1"/>
  <c r="G97" i="1"/>
  <c r="H65" i="1"/>
  <c r="K65" i="1"/>
  <c r="C62" i="6" s="1"/>
  <c r="I65" i="1"/>
  <c r="M65" i="1"/>
  <c r="F65" i="1"/>
  <c r="J65" i="1"/>
  <c r="G65" i="1"/>
  <c r="G101" i="1"/>
  <c r="H85" i="1"/>
  <c r="I85" i="1"/>
  <c r="M85" i="1"/>
  <c r="G85" i="1"/>
  <c r="K85" i="1"/>
  <c r="C82" i="6" s="1"/>
  <c r="F85" i="1"/>
  <c r="J85" i="1"/>
  <c r="M69" i="1"/>
  <c r="H53" i="1"/>
  <c r="K53" i="1"/>
  <c r="C50" i="6" s="1"/>
  <c r="I53" i="1"/>
  <c r="M53" i="1"/>
  <c r="F53" i="1"/>
  <c r="J53" i="1"/>
  <c r="G53" i="1"/>
  <c r="I108" i="1"/>
  <c r="F100" i="1"/>
  <c r="K100" i="1"/>
  <c r="C97" i="6" s="1"/>
  <c r="J100" i="1"/>
  <c r="I100" i="1"/>
  <c r="G100" i="1"/>
  <c r="M100" i="1"/>
  <c r="H100" i="1"/>
  <c r="I92" i="1"/>
  <c r="F84" i="1"/>
  <c r="K84" i="1"/>
  <c r="C81" i="6" s="1"/>
  <c r="J84" i="1"/>
  <c r="I84" i="1"/>
  <c r="G84" i="1"/>
  <c r="M84" i="1"/>
  <c r="H84" i="1"/>
  <c r="I76" i="1"/>
  <c r="F68" i="1"/>
  <c r="J68" i="1"/>
  <c r="I68" i="1"/>
  <c r="K68" i="1"/>
  <c r="C65" i="6" s="1"/>
  <c r="M68" i="1"/>
  <c r="G68" i="1"/>
  <c r="H68" i="1"/>
  <c r="K60" i="1"/>
  <c r="C57" i="6" s="1"/>
  <c r="F52" i="1"/>
  <c r="J52" i="1"/>
  <c r="I52" i="1"/>
  <c r="K52" i="1"/>
  <c r="C49" i="6" s="1"/>
  <c r="M52" i="1"/>
  <c r="G52" i="1"/>
  <c r="H52" i="1"/>
  <c r="G107" i="1"/>
  <c r="H99" i="1"/>
  <c r="I99" i="1"/>
  <c r="M99" i="1"/>
  <c r="G99" i="1"/>
  <c r="K99" i="1"/>
  <c r="C96" i="6" s="1"/>
  <c r="J99" i="1"/>
  <c r="F99" i="1"/>
  <c r="G91" i="1"/>
  <c r="H83" i="1"/>
  <c r="I83" i="1"/>
  <c r="M83" i="1"/>
  <c r="G83" i="1"/>
  <c r="K83" i="1"/>
  <c r="C80" i="6" s="1"/>
  <c r="F83" i="1"/>
  <c r="J83" i="1"/>
  <c r="G75" i="1"/>
  <c r="G67" i="1"/>
  <c r="H59" i="1"/>
  <c r="K59" i="1"/>
  <c r="C56" i="6" s="1"/>
  <c r="I59" i="1"/>
  <c r="M59" i="1"/>
  <c r="G59" i="1"/>
  <c r="F59" i="1"/>
  <c r="J59" i="1"/>
  <c r="H51" i="1"/>
  <c r="K51" i="1"/>
  <c r="C48" i="6" s="1"/>
  <c r="I51" i="1"/>
  <c r="M51" i="1"/>
  <c r="G51" i="1"/>
  <c r="F51" i="1"/>
  <c r="J51" i="1"/>
  <c r="F106" i="1"/>
  <c r="K106" i="1"/>
  <c r="C103" i="6" s="1"/>
  <c r="J106" i="1"/>
  <c r="I106" i="1"/>
  <c r="H106" i="1"/>
  <c r="G106" i="1"/>
  <c r="M106" i="1"/>
  <c r="J98" i="1"/>
  <c r="I90" i="1"/>
  <c r="F82" i="1"/>
  <c r="K82" i="1"/>
  <c r="C79" i="6" s="1"/>
  <c r="J82" i="1"/>
  <c r="I82" i="1"/>
  <c r="H82" i="1"/>
  <c r="G82" i="1"/>
  <c r="M82" i="1"/>
  <c r="I74" i="1"/>
  <c r="G66" i="1"/>
  <c r="F58" i="1"/>
  <c r="J58" i="1"/>
  <c r="I58" i="1"/>
  <c r="H58" i="1"/>
  <c r="G58" i="1"/>
  <c r="K58" i="1"/>
  <c r="C55" i="6" s="1"/>
  <c r="M58" i="1"/>
  <c r="F50" i="1"/>
  <c r="J50" i="1"/>
  <c r="I50" i="1"/>
  <c r="H50" i="1"/>
  <c r="G50" i="1"/>
  <c r="K50" i="1"/>
  <c r="C47" i="6" s="1"/>
  <c r="M50" i="1"/>
  <c r="A17" i="11"/>
  <c r="A25" i="5"/>
  <c r="M106" i="12"/>
  <c r="I106" i="12"/>
  <c r="H106" i="12"/>
  <c r="G106" i="12"/>
  <c r="K106" i="12"/>
  <c r="F103" i="6" s="1"/>
  <c r="J106" i="12"/>
  <c r="F106" i="12"/>
  <c r="M105" i="3"/>
  <c r="K105" i="3"/>
  <c r="I102" i="6" s="1"/>
  <c r="I105" i="3"/>
  <c r="H105" i="3"/>
  <c r="F105" i="3"/>
  <c r="G105" i="3"/>
  <c r="M101" i="14"/>
  <c r="K101" i="14"/>
  <c r="H98" i="6" s="1"/>
  <c r="I101" i="14"/>
  <c r="J101" i="14"/>
  <c r="H101" i="14"/>
  <c r="F101" i="14"/>
  <c r="G101" i="14"/>
  <c r="J99" i="12"/>
  <c r="I99" i="12"/>
  <c r="H99" i="12"/>
  <c r="G99" i="12"/>
  <c r="M99" i="12"/>
  <c r="K99" i="12"/>
  <c r="F96" i="6" s="1"/>
  <c r="F99" i="12"/>
  <c r="M97" i="3"/>
  <c r="K97" i="3"/>
  <c r="I94" i="6" s="1"/>
  <c r="I97" i="3"/>
  <c r="H97" i="3"/>
  <c r="F97" i="3"/>
  <c r="G97" i="3"/>
  <c r="J89" i="12"/>
  <c r="I89" i="12"/>
  <c r="F89" i="12"/>
  <c r="K89" i="12"/>
  <c r="F86" i="6" s="1"/>
  <c r="M89" i="12"/>
  <c r="H89" i="12"/>
  <c r="G89" i="12"/>
  <c r="M87" i="14"/>
  <c r="J87" i="14"/>
  <c r="F87" i="14"/>
  <c r="I87" i="14"/>
  <c r="H87" i="14"/>
  <c r="G87" i="14"/>
  <c r="K87" i="14"/>
  <c r="H84" i="6" s="1"/>
  <c r="J83" i="12"/>
  <c r="I83" i="12"/>
  <c r="F83" i="12"/>
  <c r="K83" i="12"/>
  <c r="F80" i="6" s="1"/>
  <c r="H83" i="12"/>
  <c r="M83" i="12"/>
  <c r="G83" i="12"/>
  <c r="J77" i="12"/>
  <c r="I77" i="12"/>
  <c r="F77" i="12"/>
  <c r="K77" i="12"/>
  <c r="F74" i="6" s="1"/>
  <c r="M77" i="12"/>
  <c r="H77" i="12"/>
  <c r="G77" i="12"/>
  <c r="J102" i="12"/>
  <c r="I102" i="12"/>
  <c r="F102" i="12"/>
  <c r="M102" i="12"/>
  <c r="H102" i="12"/>
  <c r="G102" i="12"/>
  <c r="K102" i="12"/>
  <c r="F99" i="6" s="1"/>
  <c r="M98" i="14"/>
  <c r="J98" i="14"/>
  <c r="F98" i="14"/>
  <c r="K98" i="14"/>
  <c r="H95" i="6" s="1"/>
  <c r="G98" i="14"/>
  <c r="I98" i="14"/>
  <c r="H98" i="14"/>
  <c r="M96" i="14"/>
  <c r="J96" i="14"/>
  <c r="F96" i="14"/>
  <c r="I96" i="14"/>
  <c r="K96" i="14"/>
  <c r="H93" i="6" s="1"/>
  <c r="H96" i="14"/>
  <c r="G96" i="14"/>
  <c r="M94" i="14"/>
  <c r="J94" i="14"/>
  <c r="F94" i="14"/>
  <c r="G94" i="14"/>
  <c r="I94" i="14"/>
  <c r="H94" i="14"/>
  <c r="K94" i="14"/>
  <c r="H91" i="6" s="1"/>
  <c r="M92" i="14"/>
  <c r="J92" i="14"/>
  <c r="F92" i="14"/>
  <c r="I92" i="14"/>
  <c r="K92" i="14"/>
  <c r="H89" i="6" s="1"/>
  <c r="H92" i="14"/>
  <c r="G92" i="14"/>
  <c r="J90" i="12"/>
  <c r="I90" i="12"/>
  <c r="F90" i="12"/>
  <c r="K90" i="12"/>
  <c r="F87" i="6" s="1"/>
  <c r="M90" i="12"/>
  <c r="G90" i="12"/>
  <c r="H90" i="12"/>
  <c r="M88" i="3"/>
  <c r="K88" i="3"/>
  <c r="I85" i="6" s="1"/>
  <c r="I88" i="3"/>
  <c r="H88" i="3"/>
  <c r="G88" i="3"/>
  <c r="F88" i="3"/>
  <c r="J84" i="12"/>
  <c r="I84" i="12"/>
  <c r="H84" i="12"/>
  <c r="M84" i="12"/>
  <c r="G84" i="12"/>
  <c r="K84" i="12"/>
  <c r="F81" i="6" s="1"/>
  <c r="F84" i="12"/>
  <c r="M84" i="3"/>
  <c r="K84" i="3"/>
  <c r="I81" i="6" s="1"/>
  <c r="I84" i="3"/>
  <c r="H84" i="3"/>
  <c r="G84" i="3"/>
  <c r="F84" i="3"/>
  <c r="M82" i="3"/>
  <c r="K82" i="3"/>
  <c r="I79" i="6" s="1"/>
  <c r="I82" i="3"/>
  <c r="H82" i="3"/>
  <c r="F82" i="3"/>
  <c r="G82" i="3"/>
  <c r="M78" i="14"/>
  <c r="K78" i="14"/>
  <c r="H75" i="6" s="1"/>
  <c r="I78" i="14"/>
  <c r="H78" i="14"/>
  <c r="J78" i="14"/>
  <c r="G78" i="14"/>
  <c r="F78" i="14"/>
  <c r="M76" i="14"/>
  <c r="K76" i="14"/>
  <c r="H73" i="6" s="1"/>
  <c r="I76" i="14"/>
  <c r="J76" i="14"/>
  <c r="H76" i="14"/>
  <c r="G76" i="14"/>
  <c r="F76" i="14"/>
  <c r="M74" i="14"/>
  <c r="K74" i="14"/>
  <c r="H71" i="6" s="1"/>
  <c r="I74" i="14"/>
  <c r="H74" i="14"/>
  <c r="F74" i="14"/>
  <c r="J74" i="14"/>
  <c r="G74" i="14"/>
  <c r="M70" i="14"/>
  <c r="K70" i="14"/>
  <c r="H67" i="6" s="1"/>
  <c r="I70" i="14"/>
  <c r="H70" i="14"/>
  <c r="J70" i="14"/>
  <c r="F70" i="14"/>
  <c r="G70" i="14"/>
  <c r="M45" i="14"/>
  <c r="J45" i="14"/>
  <c r="F45" i="14"/>
  <c r="K45" i="14"/>
  <c r="H42" i="6" s="1"/>
  <c r="G45" i="14"/>
  <c r="H45" i="14"/>
  <c r="I45" i="14"/>
  <c r="M42" i="14"/>
  <c r="K42" i="14"/>
  <c r="H39" i="6" s="1"/>
  <c r="I42" i="14"/>
  <c r="H42" i="14"/>
  <c r="F42" i="14"/>
  <c r="J42" i="14"/>
  <c r="G42" i="14"/>
  <c r="J73" i="12"/>
  <c r="I73" i="12"/>
  <c r="F73" i="12"/>
  <c r="M73" i="12"/>
  <c r="K73" i="12"/>
  <c r="F70" i="6" s="1"/>
  <c r="H73" i="12"/>
  <c r="G73" i="12"/>
  <c r="J69" i="12"/>
  <c r="I69" i="12"/>
  <c r="F69" i="12"/>
  <c r="M69" i="12"/>
  <c r="K69" i="12"/>
  <c r="F66" i="6" s="1"/>
  <c r="H69" i="12"/>
  <c r="G69" i="12"/>
  <c r="M68" i="12"/>
  <c r="I68" i="12"/>
  <c r="H68" i="12"/>
  <c r="G68" i="12"/>
  <c r="J68" i="12"/>
  <c r="K68" i="12"/>
  <c r="F65" i="6" s="1"/>
  <c r="F68" i="12"/>
  <c r="M54" i="14"/>
  <c r="G54" i="14"/>
  <c r="J54" i="14"/>
  <c r="K54" i="14"/>
  <c r="H51" i="6" s="1"/>
  <c r="H54" i="14"/>
  <c r="I54" i="14"/>
  <c r="F54" i="14"/>
  <c r="M51" i="3"/>
  <c r="F51" i="3"/>
  <c r="I51" i="3"/>
  <c r="K51" i="3"/>
  <c r="I48" i="6" s="1"/>
  <c r="H51" i="3"/>
  <c r="G51" i="3"/>
  <c r="M47" i="14"/>
  <c r="J47" i="14"/>
  <c r="F47" i="14"/>
  <c r="I47" i="14"/>
  <c r="H47" i="14"/>
  <c r="G47" i="14"/>
  <c r="K47" i="14"/>
  <c r="H44" i="6" s="1"/>
  <c r="M42" i="12"/>
  <c r="H42" i="12"/>
  <c r="K42" i="12"/>
  <c r="F39" i="6" s="1"/>
  <c r="G42" i="12"/>
  <c r="F42" i="12"/>
  <c r="J42" i="12"/>
  <c r="I42" i="12"/>
  <c r="M37" i="12"/>
  <c r="I37" i="12"/>
  <c r="K37" i="12"/>
  <c r="F34" i="6" s="1"/>
  <c r="G37" i="12"/>
  <c r="H37" i="12"/>
  <c r="J37" i="12"/>
  <c r="F37" i="12"/>
  <c r="J108" i="12"/>
  <c r="H108" i="12"/>
  <c r="K108" i="12"/>
  <c r="F105" i="6" s="1"/>
  <c r="G108" i="12"/>
  <c r="M108" i="12"/>
  <c r="I108" i="12"/>
  <c r="F108" i="12"/>
  <c r="M108" i="14"/>
  <c r="J108" i="14"/>
  <c r="F108" i="14"/>
  <c r="I108" i="14"/>
  <c r="K108" i="14"/>
  <c r="H105" i="6" s="1"/>
  <c r="H108" i="14"/>
  <c r="G108" i="14"/>
  <c r="F108" i="3"/>
  <c r="I108" i="3"/>
  <c r="M108" i="3"/>
  <c r="H108" i="3"/>
  <c r="G108" i="3"/>
  <c r="K108" i="3"/>
  <c r="I105" i="6" s="1"/>
  <c r="J104" i="12"/>
  <c r="I104" i="12"/>
  <c r="H104" i="12"/>
  <c r="K104" i="12"/>
  <c r="F101" i="6" s="1"/>
  <c r="G104" i="12"/>
  <c r="M104" i="12"/>
  <c r="F104" i="12"/>
  <c r="H104" i="3"/>
  <c r="K104" i="3"/>
  <c r="I101" i="6" s="1"/>
  <c r="G104" i="3"/>
  <c r="M104" i="3"/>
  <c r="F104" i="3"/>
  <c r="I104" i="3"/>
  <c r="J101" i="12"/>
  <c r="I101" i="12"/>
  <c r="F101" i="12"/>
  <c r="K101" i="12"/>
  <c r="F98" i="6" s="1"/>
  <c r="H101" i="12"/>
  <c r="M101" i="12"/>
  <c r="G101" i="12"/>
  <c r="H100" i="14"/>
  <c r="K100" i="14"/>
  <c r="H97" i="6" s="1"/>
  <c r="G100" i="14"/>
  <c r="M100" i="14"/>
  <c r="J100" i="14"/>
  <c r="F100" i="14"/>
  <c r="I100" i="14"/>
  <c r="H100" i="3"/>
  <c r="K100" i="3"/>
  <c r="I97" i="6" s="1"/>
  <c r="G100" i="3"/>
  <c r="M100" i="3"/>
  <c r="F100" i="3"/>
  <c r="I100" i="3"/>
  <c r="J97" i="12"/>
  <c r="I97" i="12"/>
  <c r="F97" i="12"/>
  <c r="K97" i="12"/>
  <c r="F94" i="6" s="1"/>
  <c r="H97" i="12"/>
  <c r="M97" i="12"/>
  <c r="G97" i="12"/>
  <c r="H98" i="3"/>
  <c r="I98" i="3"/>
  <c r="M98" i="3"/>
  <c r="K98" i="3"/>
  <c r="I95" i="6" s="1"/>
  <c r="F98" i="3"/>
  <c r="G98" i="3"/>
  <c r="G95" i="14"/>
  <c r="F95" i="14"/>
  <c r="I95" i="14"/>
  <c r="J95" i="14"/>
  <c r="M95" i="14"/>
  <c r="K95" i="14"/>
  <c r="H92" i="6" s="1"/>
  <c r="H95" i="14"/>
  <c r="J93" i="12"/>
  <c r="I93" i="12"/>
  <c r="F93" i="12"/>
  <c r="G93" i="12"/>
  <c r="M93" i="12"/>
  <c r="K93" i="12"/>
  <c r="F90" i="6" s="1"/>
  <c r="H93" i="12"/>
  <c r="H94" i="3"/>
  <c r="I94" i="3"/>
  <c r="K94" i="3"/>
  <c r="I91" i="6" s="1"/>
  <c r="M94" i="3"/>
  <c r="G94" i="3"/>
  <c r="F94" i="3"/>
  <c r="J91" i="12"/>
  <c r="I91" i="12"/>
  <c r="H91" i="12"/>
  <c r="G91" i="12"/>
  <c r="M91" i="12"/>
  <c r="K91" i="12"/>
  <c r="F88" i="6" s="1"/>
  <c r="F91" i="12"/>
  <c r="G91" i="3"/>
  <c r="I91" i="3"/>
  <c r="F91" i="3"/>
  <c r="M91" i="3"/>
  <c r="K91" i="3"/>
  <c r="I88" i="6" s="1"/>
  <c r="H91" i="3"/>
  <c r="F90" i="3"/>
  <c r="K90" i="3"/>
  <c r="I87" i="6" s="1"/>
  <c r="G90" i="3"/>
  <c r="M90" i="3"/>
  <c r="I90" i="3"/>
  <c r="H90" i="3"/>
  <c r="K88" i="14"/>
  <c r="H85" i="6" s="1"/>
  <c r="I88" i="14"/>
  <c r="J88" i="14"/>
  <c r="H88" i="14"/>
  <c r="M88" i="14"/>
  <c r="G88" i="14"/>
  <c r="F88" i="14"/>
  <c r="G86" i="14"/>
  <c r="F86" i="14"/>
  <c r="M86" i="14"/>
  <c r="K86" i="14"/>
  <c r="H83" i="6" s="1"/>
  <c r="H86" i="14"/>
  <c r="I86" i="14"/>
  <c r="J86" i="14"/>
  <c r="J85" i="14"/>
  <c r="F85" i="14"/>
  <c r="G85" i="14"/>
  <c r="H85" i="14"/>
  <c r="K85" i="14"/>
  <c r="H82" i="6" s="1"/>
  <c r="M85" i="14"/>
  <c r="I85" i="14"/>
  <c r="F85" i="3"/>
  <c r="G85" i="3"/>
  <c r="H85" i="3"/>
  <c r="K85" i="3"/>
  <c r="I82" i="6" s="1"/>
  <c r="M85" i="3"/>
  <c r="I85" i="3"/>
  <c r="J82" i="12"/>
  <c r="I82" i="12"/>
  <c r="F82" i="12"/>
  <c r="M82" i="12"/>
  <c r="G82" i="12"/>
  <c r="K82" i="12"/>
  <c r="F79" i="6" s="1"/>
  <c r="H82" i="12"/>
  <c r="H81" i="14"/>
  <c r="I81" i="14"/>
  <c r="F81" i="14"/>
  <c r="G81" i="14"/>
  <c r="M81" i="14"/>
  <c r="J81" i="14"/>
  <c r="K81" i="14"/>
  <c r="H78" i="6" s="1"/>
  <c r="K80" i="14"/>
  <c r="H77" i="6" s="1"/>
  <c r="I80" i="14"/>
  <c r="J80" i="14"/>
  <c r="H80" i="14"/>
  <c r="M80" i="14"/>
  <c r="G80" i="14"/>
  <c r="F80" i="14"/>
  <c r="J79" i="12"/>
  <c r="I79" i="12"/>
  <c r="F79" i="12"/>
  <c r="H79" i="12"/>
  <c r="G79" i="12"/>
  <c r="M79" i="12"/>
  <c r="K79" i="12"/>
  <c r="F76" i="6" s="1"/>
  <c r="K80" i="3"/>
  <c r="I77" i="6" s="1"/>
  <c r="I80" i="3"/>
  <c r="H80" i="3"/>
  <c r="M80" i="3"/>
  <c r="G80" i="3"/>
  <c r="F80" i="3"/>
  <c r="H77" i="14"/>
  <c r="I77" i="14"/>
  <c r="K77" i="14"/>
  <c r="H74" i="6" s="1"/>
  <c r="F77" i="14"/>
  <c r="M77" i="14"/>
  <c r="J77" i="14"/>
  <c r="G77" i="14"/>
  <c r="H77" i="3"/>
  <c r="I77" i="3"/>
  <c r="K77" i="3"/>
  <c r="I74" i="6" s="1"/>
  <c r="M77" i="3"/>
  <c r="F77" i="3"/>
  <c r="G77" i="3"/>
  <c r="J74" i="12"/>
  <c r="I74" i="12"/>
  <c r="F74" i="12"/>
  <c r="M74" i="12"/>
  <c r="K74" i="12"/>
  <c r="F71" i="6" s="1"/>
  <c r="H74" i="12"/>
  <c r="G74" i="12"/>
  <c r="H73" i="14"/>
  <c r="I73" i="14"/>
  <c r="M73" i="14"/>
  <c r="J73" i="14"/>
  <c r="K73" i="14"/>
  <c r="H70" i="6" s="1"/>
  <c r="F73" i="14"/>
  <c r="G73" i="14"/>
  <c r="J72" i="12"/>
  <c r="I72" i="12"/>
  <c r="H72" i="12"/>
  <c r="G72" i="12"/>
  <c r="M72" i="12"/>
  <c r="K72" i="12"/>
  <c r="F69" i="6" s="1"/>
  <c r="F72" i="12"/>
  <c r="H71" i="14"/>
  <c r="K71" i="14"/>
  <c r="H68" i="6" s="1"/>
  <c r="G71" i="14"/>
  <c r="M71" i="14"/>
  <c r="J71" i="14"/>
  <c r="F71" i="14"/>
  <c r="I71" i="14"/>
  <c r="J70" i="12"/>
  <c r="I70" i="12"/>
  <c r="F70" i="12"/>
  <c r="G70" i="12"/>
  <c r="M70" i="12"/>
  <c r="K70" i="12"/>
  <c r="F67" i="6" s="1"/>
  <c r="H70" i="12"/>
  <c r="H69" i="14"/>
  <c r="I69" i="14"/>
  <c r="K69" i="14"/>
  <c r="H66" i="6" s="1"/>
  <c r="M69" i="14"/>
  <c r="J69" i="14"/>
  <c r="G69" i="14"/>
  <c r="F69" i="14"/>
  <c r="M67" i="14"/>
  <c r="J67" i="14"/>
  <c r="F67" i="14"/>
  <c r="I67" i="14"/>
  <c r="K67" i="14"/>
  <c r="H64" i="6" s="1"/>
  <c r="H67" i="14"/>
  <c r="G67" i="14"/>
  <c r="M65" i="14"/>
  <c r="J65" i="14"/>
  <c r="F65" i="14"/>
  <c r="K65" i="14"/>
  <c r="H62" i="6" s="1"/>
  <c r="G65" i="14"/>
  <c r="I65" i="14"/>
  <c r="H65" i="14"/>
  <c r="M63" i="14"/>
  <c r="J63" i="14"/>
  <c r="F63" i="14"/>
  <c r="I63" i="14"/>
  <c r="K63" i="14"/>
  <c r="H60" i="6" s="1"/>
  <c r="H63" i="14"/>
  <c r="G63" i="14"/>
  <c r="M61" i="14"/>
  <c r="J61" i="14"/>
  <c r="F61" i="14"/>
  <c r="K61" i="14"/>
  <c r="H58" i="6" s="1"/>
  <c r="G61" i="14"/>
  <c r="I61" i="14"/>
  <c r="H61" i="14"/>
  <c r="M59" i="12"/>
  <c r="K59" i="12"/>
  <c r="F56" i="6" s="1"/>
  <c r="G59" i="12"/>
  <c r="F59" i="12"/>
  <c r="J59" i="12"/>
  <c r="I59" i="12"/>
  <c r="H59" i="12"/>
  <c r="M59" i="3"/>
  <c r="F59" i="3"/>
  <c r="I59" i="3"/>
  <c r="K59" i="3"/>
  <c r="I56" i="6" s="1"/>
  <c r="H59" i="3"/>
  <c r="G59" i="3"/>
  <c r="M57" i="14"/>
  <c r="J57" i="14"/>
  <c r="F57" i="14"/>
  <c r="K57" i="14"/>
  <c r="H54" i="6" s="1"/>
  <c r="G57" i="14"/>
  <c r="I57" i="14"/>
  <c r="H57" i="14"/>
  <c r="M55" i="14"/>
  <c r="J55" i="14"/>
  <c r="F55" i="14"/>
  <c r="I55" i="14"/>
  <c r="K55" i="14"/>
  <c r="H52" i="6" s="1"/>
  <c r="H55" i="14"/>
  <c r="G55" i="14"/>
  <c r="M53" i="12"/>
  <c r="K53" i="12"/>
  <c r="F50" i="6" s="1"/>
  <c r="G53" i="12"/>
  <c r="H53" i="12"/>
  <c r="J53" i="12"/>
  <c r="I53" i="12"/>
  <c r="F53" i="12"/>
  <c r="J52" i="12"/>
  <c r="I52" i="12"/>
  <c r="H52" i="12"/>
  <c r="K52" i="12"/>
  <c r="F49" i="6" s="1"/>
  <c r="G52" i="12"/>
  <c r="M52" i="12"/>
  <c r="F52" i="12"/>
  <c r="M51" i="14"/>
  <c r="J51" i="14"/>
  <c r="F51" i="14"/>
  <c r="I51" i="14"/>
  <c r="H51" i="14"/>
  <c r="G51" i="14"/>
  <c r="K51" i="14"/>
  <c r="H48" i="6" s="1"/>
  <c r="J48" i="12"/>
  <c r="I48" i="12"/>
  <c r="F48" i="12"/>
  <c r="H48" i="12"/>
  <c r="G48" i="12"/>
  <c r="M48" i="12"/>
  <c r="K48" i="12"/>
  <c r="F45" i="6" s="1"/>
  <c r="M45" i="3"/>
  <c r="F45" i="3"/>
  <c r="K45" i="3"/>
  <c r="I42" i="6" s="1"/>
  <c r="G45" i="3"/>
  <c r="H45" i="3"/>
  <c r="I45" i="3"/>
  <c r="M41" i="12"/>
  <c r="K41" i="12"/>
  <c r="F38" i="6" s="1"/>
  <c r="G41" i="12"/>
  <c r="H41" i="12"/>
  <c r="J41" i="12"/>
  <c r="I41" i="12"/>
  <c r="F41" i="12"/>
  <c r="M33" i="14"/>
  <c r="J33" i="14"/>
  <c r="F33" i="14"/>
  <c r="K33" i="14"/>
  <c r="H30" i="6" s="1"/>
  <c r="G33" i="14"/>
  <c r="I33" i="14"/>
  <c r="H33" i="14"/>
  <c r="M26" i="14"/>
  <c r="G26" i="14"/>
  <c r="H26" i="14"/>
  <c r="F26" i="14"/>
  <c r="K26" i="14"/>
  <c r="H23" i="6" s="1"/>
  <c r="I26" i="14"/>
  <c r="J26" i="14"/>
  <c r="F25" i="12"/>
  <c r="H25" i="12"/>
  <c r="M25" i="12"/>
  <c r="G25" i="12"/>
  <c r="I25" i="12"/>
  <c r="K25" i="12"/>
  <c r="F22" i="6" s="1"/>
  <c r="J25" i="12"/>
  <c r="M29" i="14"/>
  <c r="J29" i="14"/>
  <c r="F29" i="14"/>
  <c r="K29" i="14"/>
  <c r="H26" i="6" s="1"/>
  <c r="G29" i="14"/>
  <c r="H29" i="14"/>
  <c r="I29" i="14"/>
  <c r="G68" i="14"/>
  <c r="M68" i="14"/>
  <c r="K68" i="14"/>
  <c r="H65" i="6" s="1"/>
  <c r="J68" i="14"/>
  <c r="H68" i="14"/>
  <c r="F68" i="14"/>
  <c r="I68" i="14"/>
  <c r="G68" i="3"/>
  <c r="F68" i="3"/>
  <c r="M68" i="3"/>
  <c r="K68" i="3"/>
  <c r="I65" i="6" s="1"/>
  <c r="H68" i="3"/>
  <c r="I68" i="3"/>
  <c r="M65" i="12"/>
  <c r="H65" i="12"/>
  <c r="K65" i="12"/>
  <c r="F62" i="6" s="1"/>
  <c r="G65" i="12"/>
  <c r="J65" i="12"/>
  <c r="I65" i="12"/>
  <c r="F65" i="12"/>
  <c r="G64" i="14"/>
  <c r="F64" i="14"/>
  <c r="M64" i="14"/>
  <c r="K64" i="14"/>
  <c r="H61" i="6" s="1"/>
  <c r="J64" i="14"/>
  <c r="H64" i="14"/>
  <c r="I64" i="14"/>
  <c r="G64" i="3"/>
  <c r="F64" i="3"/>
  <c r="M64" i="3"/>
  <c r="K64" i="3"/>
  <c r="I61" i="6" s="1"/>
  <c r="H64" i="3"/>
  <c r="I64" i="3"/>
  <c r="G62" i="14"/>
  <c r="F62" i="14"/>
  <c r="M62" i="14"/>
  <c r="K62" i="14"/>
  <c r="H59" i="6" s="1"/>
  <c r="H62" i="14"/>
  <c r="I62" i="14"/>
  <c r="J62" i="14"/>
  <c r="G62" i="3"/>
  <c r="F62" i="3"/>
  <c r="M62" i="3"/>
  <c r="K62" i="3"/>
  <c r="I59" i="6" s="1"/>
  <c r="H62" i="3"/>
  <c r="I62" i="3"/>
  <c r="G60" i="14"/>
  <c r="F60" i="14"/>
  <c r="M60" i="14"/>
  <c r="K60" i="14"/>
  <c r="H57" i="6" s="1"/>
  <c r="J60" i="14"/>
  <c r="H60" i="14"/>
  <c r="I60" i="14"/>
  <c r="M58" i="12"/>
  <c r="H58" i="12"/>
  <c r="K58" i="12"/>
  <c r="F55" i="6" s="1"/>
  <c r="G58" i="12"/>
  <c r="J58" i="12"/>
  <c r="I58" i="12"/>
  <c r="F58" i="12"/>
  <c r="G58" i="3"/>
  <c r="M58" i="3"/>
  <c r="K58" i="3"/>
  <c r="I55" i="6" s="1"/>
  <c r="H58" i="3"/>
  <c r="I58" i="3"/>
  <c r="F58" i="3"/>
  <c r="G56" i="14"/>
  <c r="F56" i="14"/>
  <c r="M56" i="14"/>
  <c r="K56" i="14"/>
  <c r="H53" i="6" s="1"/>
  <c r="J56" i="14"/>
  <c r="H56" i="14"/>
  <c r="I56" i="14"/>
  <c r="G56" i="3"/>
  <c r="F56" i="3"/>
  <c r="M56" i="3"/>
  <c r="K56" i="3"/>
  <c r="I53" i="6" s="1"/>
  <c r="H56" i="3"/>
  <c r="I56" i="3"/>
  <c r="G54" i="3"/>
  <c r="K54" i="3"/>
  <c r="I51" i="6" s="1"/>
  <c r="H54" i="3"/>
  <c r="M54" i="3"/>
  <c r="I54" i="3"/>
  <c r="F54" i="3"/>
  <c r="G52" i="3"/>
  <c r="F52" i="3"/>
  <c r="K52" i="3"/>
  <c r="I49" i="6" s="1"/>
  <c r="M52" i="3"/>
  <c r="H52" i="3"/>
  <c r="I52" i="3"/>
  <c r="G50" i="14"/>
  <c r="J50" i="14"/>
  <c r="M50" i="14"/>
  <c r="I50" i="14"/>
  <c r="F50" i="14"/>
  <c r="H50" i="14"/>
  <c r="K50" i="14"/>
  <c r="H47" i="6" s="1"/>
  <c r="G50" i="3"/>
  <c r="K50" i="3"/>
  <c r="I47" i="6" s="1"/>
  <c r="H50" i="3"/>
  <c r="F50" i="3"/>
  <c r="M50" i="3"/>
  <c r="I50" i="3"/>
  <c r="F49" i="3"/>
  <c r="K49" i="3"/>
  <c r="I46" i="6" s="1"/>
  <c r="G49" i="3"/>
  <c r="I49" i="3"/>
  <c r="M49" i="3"/>
  <c r="H49" i="3"/>
  <c r="G46" i="14"/>
  <c r="J46" i="14"/>
  <c r="M46" i="14"/>
  <c r="K46" i="14"/>
  <c r="H43" i="6" s="1"/>
  <c r="H46" i="14"/>
  <c r="F46" i="14"/>
  <c r="I46" i="14"/>
  <c r="J45" i="12"/>
  <c r="I45" i="12"/>
  <c r="F45" i="12"/>
  <c r="K45" i="12"/>
  <c r="F42" i="6" s="1"/>
  <c r="H45" i="12"/>
  <c r="M45" i="12"/>
  <c r="G45" i="12"/>
  <c r="J44" i="12"/>
  <c r="I44" i="12"/>
  <c r="F44" i="12"/>
  <c r="M44" i="12"/>
  <c r="H44" i="12"/>
  <c r="G44" i="12"/>
  <c r="K44" i="12"/>
  <c r="F41" i="6" s="1"/>
  <c r="H43" i="14"/>
  <c r="K43" i="14"/>
  <c r="H40" i="6" s="1"/>
  <c r="G43" i="14"/>
  <c r="F43" i="14"/>
  <c r="I43" i="14"/>
  <c r="M43" i="14"/>
  <c r="J43" i="14"/>
  <c r="M39" i="14"/>
  <c r="J39" i="14"/>
  <c r="F39" i="14"/>
  <c r="I39" i="14"/>
  <c r="H39" i="14"/>
  <c r="G39" i="14"/>
  <c r="K39" i="14"/>
  <c r="H36" i="6" s="1"/>
  <c r="M35" i="14"/>
  <c r="J35" i="14"/>
  <c r="F35" i="14"/>
  <c r="I35" i="14"/>
  <c r="H35" i="14"/>
  <c r="G35" i="14"/>
  <c r="K35" i="14"/>
  <c r="H32" i="6" s="1"/>
  <c r="M31" i="14"/>
  <c r="J31" i="14"/>
  <c r="F31" i="14"/>
  <c r="I31" i="14"/>
  <c r="H31" i="14"/>
  <c r="G31" i="14"/>
  <c r="K31" i="14"/>
  <c r="H28" i="6" s="1"/>
  <c r="J30" i="12"/>
  <c r="F30" i="12"/>
  <c r="M30" i="12"/>
  <c r="H30" i="12"/>
  <c r="G30" i="12"/>
  <c r="I30" i="12"/>
  <c r="K30" i="12"/>
  <c r="F27" i="6" s="1"/>
  <c r="M28" i="12"/>
  <c r="I28" i="12"/>
  <c r="F28" i="12"/>
  <c r="J28" i="12"/>
  <c r="K28" i="12"/>
  <c r="F25" i="6" s="1"/>
  <c r="G28" i="12"/>
  <c r="H28" i="12"/>
  <c r="G42" i="3"/>
  <c r="K42" i="3"/>
  <c r="I39" i="6" s="1"/>
  <c r="H42" i="3"/>
  <c r="M42" i="3"/>
  <c r="F42" i="3"/>
  <c r="I42" i="3"/>
  <c r="F41" i="3"/>
  <c r="K41" i="3"/>
  <c r="I38" i="6" s="1"/>
  <c r="G41" i="3"/>
  <c r="H41" i="3"/>
  <c r="M41" i="3"/>
  <c r="I41" i="3"/>
  <c r="J38" i="12"/>
  <c r="F38" i="12"/>
  <c r="M38" i="12"/>
  <c r="K38" i="12"/>
  <c r="F35" i="6" s="1"/>
  <c r="I38" i="12"/>
  <c r="G38" i="12"/>
  <c r="H38" i="12"/>
  <c r="H39" i="3"/>
  <c r="K39" i="3"/>
  <c r="I36" i="6" s="1"/>
  <c r="G39" i="3"/>
  <c r="M39" i="3"/>
  <c r="F39" i="3"/>
  <c r="I39" i="3"/>
  <c r="G36" i="14"/>
  <c r="F36" i="14"/>
  <c r="M36" i="14"/>
  <c r="I36" i="14"/>
  <c r="H36" i="14"/>
  <c r="K36" i="14"/>
  <c r="H33" i="6" s="1"/>
  <c r="J36" i="14"/>
  <c r="M35" i="12"/>
  <c r="I35" i="12"/>
  <c r="K35" i="12"/>
  <c r="F32" i="6" s="1"/>
  <c r="G35" i="12"/>
  <c r="F35" i="12"/>
  <c r="J35" i="12"/>
  <c r="H35" i="12"/>
  <c r="G34" i="14"/>
  <c r="J34" i="14"/>
  <c r="K34" i="14"/>
  <c r="H31" i="6" s="1"/>
  <c r="H34" i="14"/>
  <c r="F34" i="14"/>
  <c r="M34" i="14"/>
  <c r="I34" i="14"/>
  <c r="M33" i="12"/>
  <c r="I33" i="12"/>
  <c r="K33" i="12"/>
  <c r="F30" i="6" s="1"/>
  <c r="G33" i="12"/>
  <c r="H33" i="12"/>
  <c r="J33" i="12"/>
  <c r="F33" i="12"/>
  <c r="J32" i="12"/>
  <c r="F32" i="12"/>
  <c r="I32" i="12"/>
  <c r="H32" i="12"/>
  <c r="G32" i="12"/>
  <c r="K32" i="12"/>
  <c r="F29" i="6" s="1"/>
  <c r="M32" i="12"/>
  <c r="F33" i="3"/>
  <c r="K33" i="3"/>
  <c r="I30" i="6" s="1"/>
  <c r="G33" i="3"/>
  <c r="H33" i="3"/>
  <c r="M33" i="3"/>
  <c r="I33" i="3"/>
  <c r="M25" i="14"/>
  <c r="F25" i="14"/>
  <c r="H25" i="14"/>
  <c r="G25" i="14"/>
  <c r="K25" i="14"/>
  <c r="H22" i="6" s="1"/>
  <c r="I25" i="14"/>
  <c r="J25" i="14"/>
  <c r="M25" i="3"/>
  <c r="F25" i="3"/>
  <c r="H25" i="3"/>
  <c r="G25" i="3"/>
  <c r="K25" i="3"/>
  <c r="I22" i="6" s="1"/>
  <c r="I25" i="3"/>
  <c r="J27" i="12"/>
  <c r="H27" i="12"/>
  <c r="M27" i="12"/>
  <c r="K27" i="12"/>
  <c r="F24" i="6" s="1"/>
  <c r="F27" i="12"/>
  <c r="I27" i="12"/>
  <c r="G27" i="12"/>
  <c r="F13" i="3"/>
  <c r="G13" i="3" s="1"/>
  <c r="M13" i="3"/>
  <c r="F11" i="14"/>
  <c r="M11" i="14"/>
  <c r="G11" i="14"/>
  <c r="M10" i="12"/>
  <c r="F10" i="12"/>
  <c r="G10" i="12" s="1"/>
  <c r="H10" i="12" s="1"/>
  <c r="B11" i="12"/>
  <c r="I101" i="2"/>
  <c r="K101" i="2"/>
  <c r="D98" i="6" s="1"/>
  <c r="G101" i="2"/>
  <c r="F101" i="2"/>
  <c r="M101" i="2"/>
  <c r="H101" i="2"/>
  <c r="J101" i="2"/>
  <c r="I97" i="2"/>
  <c r="K97" i="2"/>
  <c r="D94" i="6" s="1"/>
  <c r="G97" i="2"/>
  <c r="F97" i="2"/>
  <c r="H97" i="2"/>
  <c r="M97" i="2"/>
  <c r="J97" i="2"/>
  <c r="I93" i="2"/>
  <c r="K93" i="2"/>
  <c r="D90" i="6" s="1"/>
  <c r="G93" i="2"/>
  <c r="F93" i="2"/>
  <c r="M93" i="2"/>
  <c r="H93" i="2"/>
  <c r="J93" i="2"/>
  <c r="I89" i="2"/>
  <c r="M89" i="2"/>
  <c r="H89" i="2"/>
  <c r="K89" i="2"/>
  <c r="D86" i="6" s="1"/>
  <c r="G89" i="2"/>
  <c r="J89" i="2"/>
  <c r="F89" i="2"/>
  <c r="I85" i="2"/>
  <c r="M85" i="2"/>
  <c r="H85" i="2"/>
  <c r="G85" i="2"/>
  <c r="J85" i="2"/>
  <c r="K85" i="2"/>
  <c r="D82" i="6" s="1"/>
  <c r="F85" i="2"/>
  <c r="I81" i="2"/>
  <c r="M81" i="2"/>
  <c r="H81" i="2"/>
  <c r="K81" i="2"/>
  <c r="D78" i="6" s="1"/>
  <c r="G81" i="2"/>
  <c r="J81" i="2"/>
  <c r="F81" i="2"/>
  <c r="I77" i="2"/>
  <c r="M77" i="2"/>
  <c r="H77" i="2"/>
  <c r="G77" i="2"/>
  <c r="J77" i="2"/>
  <c r="K77" i="2"/>
  <c r="D74" i="6" s="1"/>
  <c r="F77" i="2"/>
  <c r="I107" i="2"/>
  <c r="G107" i="2"/>
  <c r="F107" i="2"/>
  <c r="J107" i="2"/>
  <c r="I62" i="2"/>
  <c r="K62" i="2"/>
  <c r="D59" i="6" s="1"/>
  <c r="G62" i="2"/>
  <c r="H62" i="2"/>
  <c r="J62" i="2"/>
  <c r="F62" i="2"/>
  <c r="M62" i="2"/>
  <c r="I54" i="2"/>
  <c r="K54" i="2"/>
  <c r="D51" i="6" s="1"/>
  <c r="G54" i="2"/>
  <c r="H54" i="2"/>
  <c r="F54" i="2"/>
  <c r="J54" i="2"/>
  <c r="M54" i="2"/>
  <c r="F38" i="2"/>
  <c r="H38" i="2"/>
  <c r="M38" i="2"/>
  <c r="G38" i="2"/>
  <c r="J38" i="2"/>
  <c r="I38" i="2"/>
  <c r="K38" i="2"/>
  <c r="D35" i="6" s="1"/>
  <c r="F37" i="2"/>
  <c r="G37" i="2"/>
  <c r="J37" i="2"/>
  <c r="K37" i="2"/>
  <c r="D34" i="6" s="1"/>
  <c r="I71" i="2"/>
  <c r="M71" i="2"/>
  <c r="H71" i="2"/>
  <c r="K71" i="2"/>
  <c r="D68" i="6" s="1"/>
  <c r="G71" i="2"/>
  <c r="F71" i="2"/>
  <c r="J71" i="2"/>
  <c r="I64" i="2"/>
  <c r="K64" i="2"/>
  <c r="D61" i="6" s="1"/>
  <c r="G64" i="2"/>
  <c r="F64" i="2"/>
  <c r="H64" i="2"/>
  <c r="M64" i="2"/>
  <c r="J64" i="2"/>
  <c r="I56" i="2"/>
  <c r="K56" i="2"/>
  <c r="D53" i="6" s="1"/>
  <c r="G56" i="2"/>
  <c r="F56" i="2"/>
  <c r="H56" i="2"/>
  <c r="M56" i="2"/>
  <c r="J56" i="2"/>
  <c r="I49" i="2"/>
  <c r="H49" i="2"/>
  <c r="G49" i="2"/>
  <c r="J49" i="2"/>
  <c r="F40" i="1"/>
  <c r="H40" i="1"/>
  <c r="M40" i="1"/>
  <c r="G40" i="1"/>
  <c r="I40" i="1"/>
  <c r="K40" i="1"/>
  <c r="C37" i="6" s="1"/>
  <c r="J40" i="1"/>
  <c r="H57" i="1"/>
  <c r="K57" i="1"/>
  <c r="C54" i="6" s="1"/>
  <c r="I57" i="1"/>
  <c r="M57" i="1"/>
  <c r="F57" i="1"/>
  <c r="J57" i="1"/>
  <c r="G57" i="1"/>
  <c r="J106" i="2"/>
  <c r="F106" i="2"/>
  <c r="H106" i="2"/>
  <c r="G106" i="2"/>
  <c r="I106" i="2"/>
  <c r="M106" i="2"/>
  <c r="K106" i="2"/>
  <c r="D103" i="6" s="1"/>
  <c r="M104" i="2"/>
  <c r="H104" i="2"/>
  <c r="K104" i="2"/>
  <c r="D101" i="6" s="1"/>
  <c r="G104" i="2"/>
  <c r="I104" i="2"/>
  <c r="J104" i="2"/>
  <c r="F104" i="2"/>
  <c r="F100" i="2"/>
  <c r="M100" i="2"/>
  <c r="H100" i="2"/>
  <c r="J96" i="2"/>
  <c r="F96" i="2"/>
  <c r="I96" i="2"/>
  <c r="M96" i="2"/>
  <c r="K96" i="2"/>
  <c r="D93" i="6" s="1"/>
  <c r="H96" i="2"/>
  <c r="G96" i="2"/>
  <c r="J92" i="2"/>
  <c r="F92" i="2"/>
  <c r="I92" i="2"/>
  <c r="M92" i="2"/>
  <c r="K92" i="2"/>
  <c r="D89" i="6" s="1"/>
  <c r="H92" i="2"/>
  <c r="G92" i="2"/>
  <c r="J88" i="2"/>
  <c r="M88" i="2"/>
  <c r="I88" i="2"/>
  <c r="K88" i="2"/>
  <c r="D85" i="6" s="1"/>
  <c r="F88" i="2"/>
  <c r="G88" i="2"/>
  <c r="H88" i="2"/>
  <c r="H84" i="2"/>
  <c r="K84" i="2"/>
  <c r="D81" i="6" s="1"/>
  <c r="G84" i="2"/>
  <c r="J80" i="2"/>
  <c r="M80" i="2"/>
  <c r="I80" i="2"/>
  <c r="K80" i="2"/>
  <c r="D77" i="6" s="1"/>
  <c r="F80" i="2"/>
  <c r="G80" i="2"/>
  <c r="H80" i="2"/>
  <c r="J76" i="2"/>
  <c r="H76" i="2"/>
  <c r="I76" i="2"/>
  <c r="K76" i="2"/>
  <c r="D73" i="6" s="1"/>
  <c r="F76" i="2"/>
  <c r="G76" i="2"/>
  <c r="M76" i="2"/>
  <c r="J72" i="2"/>
  <c r="M72" i="2"/>
  <c r="G72" i="2"/>
  <c r="H72" i="2"/>
  <c r="I72" i="2"/>
  <c r="K72" i="2"/>
  <c r="D69" i="6" s="1"/>
  <c r="F72" i="2"/>
  <c r="H68" i="2"/>
  <c r="M68" i="2"/>
  <c r="K68" i="2"/>
  <c r="D65" i="6" s="1"/>
  <c r="F45" i="2"/>
  <c r="H45" i="2"/>
  <c r="G45" i="2"/>
  <c r="M45" i="2"/>
  <c r="J45" i="2"/>
  <c r="I45" i="2"/>
  <c r="K45" i="2"/>
  <c r="D42" i="6" s="1"/>
  <c r="F43" i="2"/>
  <c r="H43" i="2"/>
  <c r="G43" i="2"/>
  <c r="M43" i="2"/>
  <c r="J43" i="2"/>
  <c r="I43" i="2"/>
  <c r="K43" i="2"/>
  <c r="D40" i="6" s="1"/>
  <c r="G41" i="1"/>
  <c r="F41" i="1"/>
  <c r="M41" i="1"/>
  <c r="H41" i="1"/>
  <c r="I41" i="1"/>
  <c r="K41" i="1"/>
  <c r="C38" i="6" s="1"/>
  <c r="J41" i="1"/>
  <c r="J65" i="2"/>
  <c r="F65" i="2"/>
  <c r="H65" i="2"/>
  <c r="G65" i="2"/>
  <c r="I65" i="2"/>
  <c r="K65" i="2"/>
  <c r="D62" i="6" s="1"/>
  <c r="M65" i="2"/>
  <c r="J61" i="2"/>
  <c r="H61" i="2"/>
  <c r="I61" i="2"/>
  <c r="M61" i="2"/>
  <c r="J57" i="2"/>
  <c r="F57" i="2"/>
  <c r="H57" i="2"/>
  <c r="G57" i="2"/>
  <c r="I57" i="2"/>
  <c r="K57" i="2"/>
  <c r="D54" i="6" s="1"/>
  <c r="M57" i="2"/>
  <c r="J53" i="2"/>
  <c r="F53" i="2"/>
  <c r="H53" i="2"/>
  <c r="G53" i="2"/>
  <c r="I53" i="2"/>
  <c r="K53" i="2"/>
  <c r="D50" i="6" s="1"/>
  <c r="M53" i="2"/>
  <c r="F46" i="1"/>
  <c r="H46" i="1"/>
  <c r="M46" i="1"/>
  <c r="G46" i="1"/>
  <c r="I46" i="1"/>
  <c r="K46" i="1"/>
  <c r="C43" i="6" s="1"/>
  <c r="J46" i="1"/>
  <c r="M50" i="2"/>
  <c r="K50" i="2"/>
  <c r="D47" i="6" s="1"/>
  <c r="I50" i="2"/>
  <c r="G50" i="2"/>
  <c r="G43" i="1"/>
  <c r="M43" i="1"/>
  <c r="F43" i="1"/>
  <c r="H43" i="1"/>
  <c r="I43" i="1"/>
  <c r="K43" i="1"/>
  <c r="C40" i="6" s="1"/>
  <c r="J43" i="1"/>
  <c r="M42" i="2"/>
  <c r="G42" i="2"/>
  <c r="F42" i="2"/>
  <c r="H42" i="2"/>
  <c r="J42" i="2"/>
  <c r="I42" i="2"/>
  <c r="K42" i="2"/>
  <c r="D39" i="6" s="1"/>
  <c r="G39" i="2"/>
  <c r="M39" i="2"/>
  <c r="H39" i="2"/>
  <c r="F39" i="2"/>
  <c r="K39" i="2"/>
  <c r="D36" i="6" s="1"/>
  <c r="I39" i="2"/>
  <c r="J39" i="2"/>
  <c r="H89" i="1"/>
  <c r="M89" i="1"/>
  <c r="K89" i="1"/>
  <c r="C86" i="6" s="1"/>
  <c r="J89" i="1"/>
  <c r="H105" i="1"/>
  <c r="I105" i="1"/>
  <c r="M105" i="1"/>
  <c r="G105" i="1"/>
  <c r="K105" i="1"/>
  <c r="C102" i="6" s="1"/>
  <c r="F105" i="1"/>
  <c r="J105" i="1"/>
  <c r="H81" i="1"/>
  <c r="I81" i="1"/>
  <c r="M81" i="1"/>
  <c r="G81" i="1"/>
  <c r="K81" i="1"/>
  <c r="C78" i="6" s="1"/>
  <c r="F81" i="1"/>
  <c r="J81" i="1"/>
  <c r="B11" i="5"/>
  <c r="B11" i="13"/>
  <c r="H93" i="1"/>
  <c r="M93" i="1"/>
  <c r="G93" i="1"/>
  <c r="K93" i="1"/>
  <c r="C90" i="6" s="1"/>
  <c r="F93" i="1"/>
  <c r="J93" i="1"/>
  <c r="H77" i="1"/>
  <c r="I77" i="1"/>
  <c r="M77" i="1"/>
  <c r="G77" i="1"/>
  <c r="K77" i="1"/>
  <c r="C74" i="6" s="1"/>
  <c r="F77" i="1"/>
  <c r="J77" i="1"/>
  <c r="H61" i="1"/>
  <c r="K61" i="1"/>
  <c r="C58" i="6" s="1"/>
  <c r="I61" i="1"/>
  <c r="M61" i="1"/>
  <c r="F61" i="1"/>
  <c r="J61" i="1"/>
  <c r="G61" i="1"/>
  <c r="H49" i="1"/>
  <c r="K49" i="1"/>
  <c r="C46" i="6" s="1"/>
  <c r="I49" i="1"/>
  <c r="M49" i="1"/>
  <c r="F49" i="1"/>
  <c r="J49" i="1"/>
  <c r="G49" i="1"/>
  <c r="F104" i="1"/>
  <c r="K104" i="1"/>
  <c r="C101" i="6" s="1"/>
  <c r="J104" i="1"/>
  <c r="I104" i="1"/>
  <c r="G104" i="1"/>
  <c r="M104" i="1"/>
  <c r="H104" i="1"/>
  <c r="F96" i="1"/>
  <c r="K96" i="1"/>
  <c r="C93" i="6" s="1"/>
  <c r="J96" i="1"/>
  <c r="I96" i="1"/>
  <c r="G96" i="1"/>
  <c r="M96" i="1"/>
  <c r="H96" i="1"/>
  <c r="F88" i="1"/>
  <c r="K88" i="1"/>
  <c r="C85" i="6" s="1"/>
  <c r="J88" i="1"/>
  <c r="I88" i="1"/>
  <c r="G88" i="1"/>
  <c r="M88" i="1"/>
  <c r="H88" i="1"/>
  <c r="F80" i="1"/>
  <c r="K80" i="1"/>
  <c r="C77" i="6" s="1"/>
  <c r="J80" i="1"/>
  <c r="I80" i="1"/>
  <c r="G80" i="1"/>
  <c r="M80" i="1"/>
  <c r="H80" i="1"/>
  <c r="F72" i="1"/>
  <c r="J72" i="1"/>
  <c r="K72" i="1"/>
  <c r="C69" i="6" s="1"/>
  <c r="I72" i="1"/>
  <c r="G72" i="1"/>
  <c r="M72" i="1"/>
  <c r="H72" i="1"/>
  <c r="F64" i="1"/>
  <c r="J64" i="1"/>
  <c r="I64" i="1"/>
  <c r="K64" i="1"/>
  <c r="C61" i="6" s="1"/>
  <c r="M64" i="1"/>
  <c r="G64" i="1"/>
  <c r="H64" i="1"/>
  <c r="F56" i="1"/>
  <c r="J56" i="1"/>
  <c r="I56" i="1"/>
  <c r="K56" i="1"/>
  <c r="C53" i="6" s="1"/>
  <c r="M56" i="1"/>
  <c r="G56" i="1"/>
  <c r="H56" i="1"/>
  <c r="F48" i="1"/>
  <c r="J48" i="1"/>
  <c r="I48" i="1"/>
  <c r="K48" i="1"/>
  <c r="C45" i="6" s="1"/>
  <c r="M48" i="1"/>
  <c r="G48" i="1"/>
  <c r="H48" i="1"/>
  <c r="B11" i="1"/>
  <c r="H103" i="1"/>
  <c r="I103" i="1"/>
  <c r="M103" i="1"/>
  <c r="G103" i="1"/>
  <c r="K103" i="1"/>
  <c r="C100" i="6" s="1"/>
  <c r="J103" i="1"/>
  <c r="F103" i="1"/>
  <c r="H95" i="1"/>
  <c r="G95" i="1"/>
  <c r="I95" i="1"/>
  <c r="M95" i="1"/>
  <c r="K95" i="1"/>
  <c r="C92" i="6" s="1"/>
  <c r="F95" i="1"/>
  <c r="J95" i="1"/>
  <c r="H87" i="1"/>
  <c r="I87" i="1"/>
  <c r="M87" i="1"/>
  <c r="G87" i="1"/>
  <c r="K87" i="1"/>
  <c r="C84" i="6" s="1"/>
  <c r="F87" i="1"/>
  <c r="J87" i="1"/>
  <c r="H79" i="1"/>
  <c r="I79" i="1"/>
  <c r="M79" i="1"/>
  <c r="G79" i="1"/>
  <c r="K79" i="1"/>
  <c r="C76" i="6" s="1"/>
  <c r="F79" i="1"/>
  <c r="J79" i="1"/>
  <c r="H71" i="1"/>
  <c r="K71" i="1"/>
  <c r="C68" i="6" s="1"/>
  <c r="I71" i="1"/>
  <c r="M71" i="1"/>
  <c r="G71" i="1"/>
  <c r="F71" i="1"/>
  <c r="J71" i="1"/>
  <c r="H63" i="1"/>
  <c r="K63" i="1"/>
  <c r="C60" i="6" s="1"/>
  <c r="I63" i="1"/>
  <c r="M63" i="1"/>
  <c r="G63" i="1"/>
  <c r="F63" i="1"/>
  <c r="J63" i="1"/>
  <c r="H55" i="1"/>
  <c r="K55" i="1"/>
  <c r="C52" i="6" s="1"/>
  <c r="I55" i="1"/>
  <c r="M55" i="1"/>
  <c r="G55" i="1"/>
  <c r="F55" i="1"/>
  <c r="J55" i="1"/>
  <c r="H47" i="1"/>
  <c r="K47" i="1"/>
  <c r="C44" i="6" s="1"/>
  <c r="I47" i="1"/>
  <c r="M47" i="1"/>
  <c r="G47" i="1"/>
  <c r="F47" i="1"/>
  <c r="J47" i="1"/>
  <c r="F102" i="1"/>
  <c r="K102" i="1"/>
  <c r="C99" i="6" s="1"/>
  <c r="J102" i="1"/>
  <c r="I102" i="1"/>
  <c r="H102" i="1"/>
  <c r="G102" i="1"/>
  <c r="M102" i="1"/>
  <c r="F94" i="1"/>
  <c r="K94" i="1"/>
  <c r="C91" i="6" s="1"/>
  <c r="J94" i="1"/>
  <c r="I94" i="1"/>
  <c r="H94" i="1"/>
  <c r="G94" i="1"/>
  <c r="M94" i="1"/>
  <c r="F86" i="1"/>
  <c r="K86" i="1"/>
  <c r="C83" i="6" s="1"/>
  <c r="J86" i="1"/>
  <c r="I86" i="1"/>
  <c r="H86" i="1"/>
  <c r="G86" i="1"/>
  <c r="M86" i="1"/>
  <c r="F78" i="1"/>
  <c r="K78" i="1"/>
  <c r="C75" i="6" s="1"/>
  <c r="J78" i="1"/>
  <c r="I78" i="1"/>
  <c r="H78" i="1"/>
  <c r="G78" i="1"/>
  <c r="M78" i="1"/>
  <c r="F70" i="1"/>
  <c r="K70" i="1"/>
  <c r="C67" i="6" s="1"/>
  <c r="J70" i="1"/>
  <c r="I70" i="1"/>
  <c r="H70" i="1"/>
  <c r="G70" i="1"/>
  <c r="M70" i="1"/>
  <c r="F62" i="1"/>
  <c r="J62" i="1"/>
  <c r="I62" i="1"/>
  <c r="H62" i="1"/>
  <c r="G62" i="1"/>
  <c r="K62" i="1"/>
  <c r="C59" i="6" s="1"/>
  <c r="M62" i="1"/>
  <c r="F54" i="1"/>
  <c r="J54" i="1"/>
  <c r="I54" i="1"/>
  <c r="H54" i="1"/>
  <c r="G54" i="1"/>
  <c r="K54" i="1"/>
  <c r="C51" i="6" s="1"/>
  <c r="M54" i="1"/>
  <c r="F10" i="2"/>
  <c r="G10" i="2" s="1"/>
  <c r="H10" i="2" s="1"/>
  <c r="M10" i="2"/>
  <c r="J66" i="1" l="1"/>
  <c r="I66" i="1"/>
  <c r="M66" i="1"/>
  <c r="K98" i="1"/>
  <c r="C95" i="6" s="1"/>
  <c r="F98" i="1"/>
  <c r="H98" i="1"/>
  <c r="F90" i="1"/>
  <c r="K90" i="1"/>
  <c r="C87" i="6" s="1"/>
  <c r="G90" i="1"/>
  <c r="F74" i="1"/>
  <c r="K74" i="1"/>
  <c r="C71" i="6" s="1"/>
  <c r="G74" i="1"/>
  <c r="H75" i="1"/>
  <c r="I75" i="1"/>
  <c r="F75" i="1"/>
  <c r="H91" i="1"/>
  <c r="I91" i="1"/>
  <c r="F91" i="1"/>
  <c r="H107" i="1"/>
  <c r="I107" i="1"/>
  <c r="J107" i="1"/>
  <c r="F60" i="1"/>
  <c r="J60" i="1"/>
  <c r="G60" i="1"/>
  <c r="F76" i="1"/>
  <c r="K76" i="1"/>
  <c r="C73" i="6" s="1"/>
  <c r="M76" i="1"/>
  <c r="F92" i="1"/>
  <c r="K92" i="1"/>
  <c r="C89" i="6" s="1"/>
  <c r="M92" i="1"/>
  <c r="F108" i="1"/>
  <c r="K108" i="1"/>
  <c r="C105" i="6" s="1"/>
  <c r="M108" i="1"/>
  <c r="H69" i="1"/>
  <c r="K69" i="1"/>
  <c r="C66" i="6" s="1"/>
  <c r="J69" i="1"/>
  <c r="H101" i="1"/>
  <c r="I101" i="1"/>
  <c r="F101" i="1"/>
  <c r="I97" i="1"/>
  <c r="H97" i="1"/>
  <c r="F97" i="1"/>
  <c r="I89" i="1"/>
  <c r="G89" i="1"/>
  <c r="F89" i="1"/>
  <c r="B11" i="2"/>
  <c r="B11" i="11"/>
  <c r="M10" i="1"/>
  <c r="F10" i="1"/>
  <c r="G10" i="1" s="1"/>
  <c r="H10" i="1" s="1"/>
  <c r="K67" i="1"/>
  <c r="C64" i="6" s="1"/>
  <c r="I67" i="1"/>
  <c r="J67" i="1"/>
  <c r="J50" i="2"/>
  <c r="H50" i="2"/>
  <c r="F50" i="2"/>
  <c r="F61" i="2"/>
  <c r="G61" i="2"/>
  <c r="K61" i="2"/>
  <c r="D58" i="6" s="1"/>
  <c r="J68" i="2"/>
  <c r="G68" i="2"/>
  <c r="I68" i="2"/>
  <c r="F68" i="2"/>
  <c r="J84" i="2"/>
  <c r="I84" i="2"/>
  <c r="F84" i="2"/>
  <c r="M84" i="2"/>
  <c r="J100" i="2"/>
  <c r="I100" i="2"/>
  <c r="K100" i="2"/>
  <c r="D97" i="6" s="1"/>
  <c r="G100" i="2"/>
  <c r="M49" i="2"/>
  <c r="K49" i="2"/>
  <c r="D46" i="6" s="1"/>
  <c r="F49" i="2"/>
  <c r="H37" i="2"/>
  <c r="M37" i="2"/>
  <c r="I37" i="2"/>
  <c r="K107" i="2"/>
  <c r="D104" i="6" s="1"/>
  <c r="H107" i="2"/>
  <c r="M107" i="2"/>
  <c r="F66" i="1"/>
  <c r="M98" i="1"/>
  <c r="H67" i="1"/>
  <c r="F37" i="1"/>
  <c r="G37" i="1"/>
  <c r="K37" i="1"/>
  <c r="C34" i="6" s="1"/>
  <c r="J37" i="1"/>
  <c r="J48" i="2"/>
  <c r="K48" i="2"/>
  <c r="D45" i="6" s="1"/>
  <c r="H48" i="2"/>
  <c r="G48" i="2"/>
  <c r="F45" i="1"/>
  <c r="G45" i="1"/>
  <c r="I45" i="1"/>
  <c r="J45" i="1"/>
  <c r="J55" i="2"/>
  <c r="H55" i="2"/>
  <c r="M55" i="2"/>
  <c r="K55" i="2"/>
  <c r="D52" i="6" s="1"/>
  <c r="J63" i="2"/>
  <c r="H63" i="2"/>
  <c r="M63" i="2"/>
  <c r="K63" i="2"/>
  <c r="D60" i="6" s="1"/>
  <c r="F39" i="1"/>
  <c r="G39" i="1"/>
  <c r="I39" i="1"/>
  <c r="J39" i="1"/>
  <c r="M44" i="2"/>
  <c r="F44" i="2"/>
  <c r="J44" i="2"/>
  <c r="K44" i="2"/>
  <c r="D41" i="6" s="1"/>
  <c r="M70" i="2"/>
  <c r="G70" i="2"/>
  <c r="I70" i="2"/>
  <c r="H70" i="2"/>
  <c r="M78" i="2"/>
  <c r="I78" i="2"/>
  <c r="H78" i="2"/>
  <c r="J78" i="2"/>
  <c r="M86" i="2"/>
  <c r="I86" i="2"/>
  <c r="H86" i="2"/>
  <c r="J86" i="2"/>
  <c r="J94" i="2"/>
  <c r="K94" i="2"/>
  <c r="D91" i="6" s="1"/>
  <c r="M94" i="2"/>
  <c r="H94" i="2"/>
  <c r="J102" i="2"/>
  <c r="K102" i="2"/>
  <c r="D99" i="6" s="1"/>
  <c r="M102" i="2"/>
  <c r="H102" i="2"/>
  <c r="J108" i="2"/>
  <c r="M108" i="2"/>
  <c r="I108" i="2"/>
  <c r="G108" i="2"/>
  <c r="I51" i="2"/>
  <c r="H51" i="2"/>
  <c r="G51" i="2"/>
  <c r="J51" i="2"/>
  <c r="I69" i="2"/>
  <c r="H69" i="2"/>
  <c r="F69" i="2"/>
  <c r="K69" i="2"/>
  <c r="D66" i="6" s="1"/>
  <c r="F38" i="1"/>
  <c r="M38" i="1"/>
  <c r="I38" i="1"/>
  <c r="J38" i="1"/>
  <c r="I58" i="2"/>
  <c r="G58" i="2"/>
  <c r="F58" i="2"/>
  <c r="M58" i="2"/>
  <c r="I75" i="2"/>
  <c r="H75" i="2"/>
  <c r="G75" i="2"/>
  <c r="F75" i="2"/>
  <c r="I83" i="2"/>
  <c r="H83" i="2"/>
  <c r="G83" i="2"/>
  <c r="F83" i="2"/>
  <c r="I91" i="2"/>
  <c r="G91" i="2"/>
  <c r="F91" i="2"/>
  <c r="M91" i="2"/>
  <c r="I99" i="2"/>
  <c r="G99" i="2"/>
  <c r="F99" i="2"/>
  <c r="M99" i="2"/>
  <c r="G41" i="2"/>
  <c r="F41" i="2"/>
  <c r="I41" i="2"/>
  <c r="K41" i="2"/>
  <c r="D38" i="6" s="1"/>
  <c r="G44" i="1"/>
  <c r="F44" i="1"/>
  <c r="I44" i="1"/>
  <c r="J44" i="1"/>
  <c r="K52" i="2"/>
  <c r="D49" i="6" s="1"/>
  <c r="F52" i="2"/>
  <c r="M52" i="2"/>
  <c r="J52" i="2"/>
  <c r="J59" i="2"/>
  <c r="H59" i="2"/>
  <c r="M59" i="2"/>
  <c r="K59" i="2"/>
  <c r="D56" i="6" s="1"/>
  <c r="M67" i="2"/>
  <c r="K67" i="2"/>
  <c r="D64" i="6" s="1"/>
  <c r="F67" i="2"/>
  <c r="J67" i="2"/>
  <c r="G42" i="1"/>
  <c r="F42" i="1"/>
  <c r="K42" i="1"/>
  <c r="C39" i="6" s="1"/>
  <c r="J42" i="1"/>
  <c r="F46" i="2"/>
  <c r="G46" i="2"/>
  <c r="J46" i="2"/>
  <c r="K46" i="2"/>
  <c r="D43" i="6" s="1"/>
  <c r="M74" i="2"/>
  <c r="I74" i="2"/>
  <c r="H74" i="2"/>
  <c r="F74" i="2"/>
  <c r="M82" i="2"/>
  <c r="I82" i="2"/>
  <c r="H82" i="2"/>
  <c r="F82" i="2"/>
  <c r="J90" i="2"/>
  <c r="I90" i="2"/>
  <c r="K90" i="2"/>
  <c r="D87" i="6" s="1"/>
  <c r="G90" i="2"/>
  <c r="J98" i="2"/>
  <c r="I98" i="2"/>
  <c r="K98" i="2"/>
  <c r="D95" i="6" s="1"/>
  <c r="G98" i="2"/>
  <c r="K105" i="2"/>
  <c r="D102" i="6" s="1"/>
  <c r="F105" i="2"/>
  <c r="J105" i="2"/>
  <c r="M105" i="2"/>
  <c r="G40" i="2"/>
  <c r="F40" i="2"/>
  <c r="I40" i="2"/>
  <c r="J40" i="2"/>
  <c r="I60" i="2"/>
  <c r="G60" i="2"/>
  <c r="H60" i="2"/>
  <c r="J60" i="2"/>
  <c r="I73" i="2"/>
  <c r="H73" i="2"/>
  <c r="G73" i="2"/>
  <c r="J73" i="2"/>
  <c r="I47" i="2"/>
  <c r="H47" i="2"/>
  <c r="G47" i="2"/>
  <c r="J47" i="2"/>
  <c r="I66" i="2"/>
  <c r="G66" i="2"/>
  <c r="F66" i="2"/>
  <c r="M66" i="2"/>
  <c r="I79" i="2"/>
  <c r="H79" i="2"/>
  <c r="G79" i="2"/>
  <c r="F79" i="2"/>
  <c r="I87" i="2"/>
  <c r="H87" i="2"/>
  <c r="G87" i="2"/>
  <c r="F87" i="2"/>
  <c r="I95" i="2"/>
  <c r="G95" i="2"/>
  <c r="J95" i="2"/>
  <c r="M95" i="2"/>
  <c r="I103" i="2"/>
  <c r="G103" i="2"/>
  <c r="J103" i="2"/>
  <c r="M103" i="2"/>
  <c r="K66" i="1"/>
  <c r="C63" i="6" s="1"/>
  <c r="H66" i="1"/>
  <c r="M74" i="1"/>
  <c r="H74" i="1"/>
  <c r="J74" i="1"/>
  <c r="M90" i="1"/>
  <c r="H90" i="1"/>
  <c r="J90" i="1"/>
  <c r="G98" i="1"/>
  <c r="I98" i="1"/>
  <c r="F67" i="1"/>
  <c r="M67" i="1"/>
  <c r="J75" i="1"/>
  <c r="K75" i="1"/>
  <c r="C72" i="6" s="1"/>
  <c r="M75" i="1"/>
  <c r="J91" i="1"/>
  <c r="K91" i="1"/>
  <c r="C88" i="6" s="1"/>
  <c r="M91" i="1"/>
  <c r="F107" i="1"/>
  <c r="K107" i="1"/>
  <c r="C104" i="6" s="1"/>
  <c r="M107" i="1"/>
  <c r="H60" i="1"/>
  <c r="M60" i="1"/>
  <c r="I60" i="1"/>
  <c r="H76" i="1"/>
  <c r="G76" i="1"/>
  <c r="J76" i="1"/>
  <c r="H92" i="1"/>
  <c r="G92" i="1"/>
  <c r="J92" i="1"/>
  <c r="H108" i="1"/>
  <c r="G108" i="1"/>
  <c r="J108" i="1"/>
  <c r="G69" i="1"/>
  <c r="F69" i="1"/>
  <c r="I69" i="1"/>
  <c r="J101" i="1"/>
  <c r="K101" i="1"/>
  <c r="C98" i="6" s="1"/>
  <c r="M101" i="1"/>
  <c r="J97" i="1"/>
  <c r="K97" i="1"/>
  <c r="C94" i="6" s="1"/>
  <c r="M97" i="1"/>
  <c r="J41" i="2"/>
  <c r="M41" i="2"/>
  <c r="K44" i="1"/>
  <c r="C41" i="6" s="1"/>
  <c r="M44" i="1"/>
  <c r="I52" i="2"/>
  <c r="G52" i="2"/>
  <c r="I59" i="2"/>
  <c r="F59" i="2"/>
  <c r="I67" i="2"/>
  <c r="H67" i="2"/>
  <c r="I42" i="1"/>
  <c r="H42" i="1"/>
  <c r="I46" i="2"/>
  <c r="H46" i="2"/>
  <c r="G74" i="2"/>
  <c r="J74" i="2"/>
  <c r="G82" i="2"/>
  <c r="J82" i="2"/>
  <c r="H90" i="2"/>
  <c r="F90" i="2"/>
  <c r="H98" i="2"/>
  <c r="F98" i="2"/>
  <c r="I105" i="2"/>
  <c r="G105" i="2"/>
  <c r="K40" i="2"/>
  <c r="D37" i="6" s="1"/>
  <c r="M40" i="2"/>
  <c r="M60" i="2"/>
  <c r="K60" i="2"/>
  <c r="D57" i="6" s="1"/>
  <c r="F73" i="2"/>
  <c r="M73" i="2"/>
  <c r="F47" i="2"/>
  <c r="M47" i="2"/>
  <c r="J66" i="2"/>
  <c r="K66" i="2"/>
  <c r="D63" i="6" s="1"/>
  <c r="J79" i="2"/>
  <c r="M79" i="2"/>
  <c r="J87" i="2"/>
  <c r="M87" i="2"/>
  <c r="F95" i="2"/>
  <c r="K95" i="2"/>
  <c r="D92" i="6" s="1"/>
  <c r="F103" i="2"/>
  <c r="K103" i="2"/>
  <c r="D100" i="6" s="1"/>
  <c r="H11" i="3"/>
  <c r="H12" i="3" s="1"/>
  <c r="H13" i="3" s="1"/>
  <c r="H14" i="3" s="1"/>
  <c r="H11" i="14"/>
  <c r="H12" i="14" s="1"/>
  <c r="M11" i="11"/>
  <c r="F11" i="11"/>
  <c r="G11" i="11" s="1"/>
  <c r="H11" i="11" s="1"/>
  <c r="A26" i="5"/>
  <c r="A18" i="11"/>
  <c r="F13" i="14"/>
  <c r="G13" i="14" s="1"/>
  <c r="H13" i="14" s="1"/>
  <c r="M13" i="14"/>
  <c r="B14" i="14"/>
  <c r="M15" i="3"/>
  <c r="F15" i="3"/>
  <c r="G15" i="3" s="1"/>
  <c r="B16" i="3"/>
  <c r="B17" i="3" s="1"/>
  <c r="M11" i="1"/>
  <c r="B12" i="11"/>
  <c r="B12" i="5"/>
  <c r="B12" i="13"/>
  <c r="F11" i="1"/>
  <c r="G11" i="1" s="1"/>
  <c r="H11" i="1" s="1"/>
  <c r="B12" i="1"/>
  <c r="B12" i="2"/>
  <c r="M11" i="13"/>
  <c r="F11" i="13"/>
  <c r="G11" i="13" s="1"/>
  <c r="H11" i="13" s="1"/>
  <c r="M11" i="5"/>
  <c r="F11" i="5"/>
  <c r="G11" i="5" s="1"/>
  <c r="H11" i="5" s="1"/>
  <c r="M11" i="12"/>
  <c r="F11" i="12"/>
  <c r="G11" i="12" s="1"/>
  <c r="H11" i="12" s="1"/>
  <c r="B12" i="12"/>
  <c r="A24" i="13"/>
  <c r="H15" i="3" l="1"/>
  <c r="F11" i="2"/>
  <c r="G11" i="2" s="1"/>
  <c r="H11" i="2" s="1"/>
  <c r="M11" i="2"/>
  <c r="B18" i="3"/>
  <c r="F17" i="3"/>
  <c r="G17" i="3" s="1"/>
  <c r="M17" i="3"/>
  <c r="A25" i="13"/>
  <c r="M12" i="12"/>
  <c r="F12" i="12"/>
  <c r="G12" i="12" s="1"/>
  <c r="H12" i="12" s="1"/>
  <c r="B13" i="12"/>
  <c r="F12" i="1"/>
  <c r="G12" i="1" s="1"/>
  <c r="H12" i="1" s="1"/>
  <c r="B13" i="11"/>
  <c r="B13" i="5"/>
  <c r="M12" i="1"/>
  <c r="B13" i="13"/>
  <c r="B13" i="2"/>
  <c r="B13" i="1"/>
  <c r="F12" i="5"/>
  <c r="G12" i="5" s="1"/>
  <c r="H12" i="5" s="1"/>
  <c r="M12" i="5"/>
  <c r="A19" i="11"/>
  <c r="M12" i="2"/>
  <c r="F12" i="2"/>
  <c r="G12" i="2" s="1"/>
  <c r="F12" i="13"/>
  <c r="G12" i="13" s="1"/>
  <c r="H12" i="13" s="1"/>
  <c r="M12" i="13"/>
  <c r="F12" i="11"/>
  <c r="G12" i="11" s="1"/>
  <c r="H12" i="11" s="1"/>
  <c r="M12" i="11"/>
  <c r="M16" i="3"/>
  <c r="F16" i="3"/>
  <c r="G16" i="3" s="1"/>
  <c r="F14" i="14"/>
  <c r="G14" i="14" s="1"/>
  <c r="H14" i="14" s="1"/>
  <c r="M14" i="14"/>
  <c r="B15" i="14"/>
  <c r="A27" i="5"/>
  <c r="H16" i="3" l="1"/>
  <c r="H12" i="2"/>
  <c r="H17" i="3"/>
  <c r="B19" i="3"/>
  <c r="M18" i="3"/>
  <c r="F18" i="3"/>
  <c r="G18" i="3" s="1"/>
  <c r="A28" i="5"/>
  <c r="F15" i="14"/>
  <c r="G15" i="14" s="1"/>
  <c r="H15" i="14" s="1"/>
  <c r="M15" i="14"/>
  <c r="B16" i="14"/>
  <c r="B17" i="14" s="1"/>
  <c r="M13" i="2"/>
  <c r="F13" i="2"/>
  <c r="G13" i="2" s="1"/>
  <c r="M13" i="13"/>
  <c r="F13" i="13"/>
  <c r="G13" i="13" s="1"/>
  <c r="H13" i="13" s="1"/>
  <c r="M13" i="5"/>
  <c r="F13" i="5"/>
  <c r="G13" i="5" s="1"/>
  <c r="H13" i="5" s="1"/>
  <c r="M13" i="11"/>
  <c r="F13" i="11"/>
  <c r="G13" i="11" s="1"/>
  <c r="H13" i="11" s="1"/>
  <c r="A26" i="13"/>
  <c r="A20" i="11"/>
  <c r="B14" i="13"/>
  <c r="F13" i="1"/>
  <c r="G13" i="1" s="1"/>
  <c r="H13" i="1" s="1"/>
  <c r="M13" i="1"/>
  <c r="B14" i="5"/>
  <c r="B14" i="11"/>
  <c r="B14" i="2"/>
  <c r="B14" i="1"/>
  <c r="F13" i="12"/>
  <c r="G13" i="12" s="1"/>
  <c r="H13" i="12" s="1"/>
  <c r="M13" i="12"/>
  <c r="B14" i="12"/>
  <c r="H18" i="3" l="1"/>
  <c r="H13" i="2"/>
  <c r="B20" i="3"/>
  <c r="M19" i="3"/>
  <c r="F19" i="3"/>
  <c r="G19" i="3" s="1"/>
  <c r="H19" i="3" s="1"/>
  <c r="B18" i="14"/>
  <c r="M17" i="14"/>
  <c r="F17" i="14"/>
  <c r="G17" i="14" s="1"/>
  <c r="F14" i="11"/>
  <c r="G14" i="11" s="1"/>
  <c r="H14" i="11" s="1"/>
  <c r="M14" i="11"/>
  <c r="F14" i="12"/>
  <c r="G14" i="12" s="1"/>
  <c r="H14" i="12" s="1"/>
  <c r="M14" i="12"/>
  <c r="B15" i="12"/>
  <c r="M14" i="2"/>
  <c r="F14" i="2"/>
  <c r="G14" i="2" s="1"/>
  <c r="F14" i="5"/>
  <c r="M14" i="5"/>
  <c r="G14" i="5"/>
  <c r="H14" i="5" s="1"/>
  <c r="M14" i="13"/>
  <c r="F14" i="13"/>
  <c r="G14" i="13" s="1"/>
  <c r="H14" i="13" s="1"/>
  <c r="A27" i="13"/>
  <c r="A29" i="5"/>
  <c r="B15" i="5"/>
  <c r="M14" i="1"/>
  <c r="B15" i="13"/>
  <c r="F14" i="1"/>
  <c r="G14" i="1" s="1"/>
  <c r="H14" i="1" s="1"/>
  <c r="B15" i="1"/>
  <c r="B15" i="2"/>
  <c r="B15" i="11"/>
  <c r="A21" i="11"/>
  <c r="F16" i="14"/>
  <c r="M16" i="14"/>
  <c r="G16" i="14"/>
  <c r="H16" i="14" s="1"/>
  <c r="H17" i="14" l="1"/>
  <c r="H14" i="2"/>
  <c r="B19" i="14"/>
  <c r="M18" i="14"/>
  <c r="F18" i="14"/>
  <c r="G18" i="14" s="1"/>
  <c r="B21" i="3"/>
  <c r="M20" i="3"/>
  <c r="F20" i="3"/>
  <c r="G20" i="3" s="1"/>
  <c r="H20" i="3" s="1"/>
  <c r="A22" i="11"/>
  <c r="F15" i="11"/>
  <c r="M15" i="11"/>
  <c r="G15" i="11"/>
  <c r="H15" i="11" s="1"/>
  <c r="B16" i="13"/>
  <c r="F15" i="1"/>
  <c r="G15" i="1" s="1"/>
  <c r="H15" i="1" s="1"/>
  <c r="B16" i="5"/>
  <c r="M15" i="1"/>
  <c r="B16" i="1"/>
  <c r="B16" i="2"/>
  <c r="B16" i="11"/>
  <c r="F15" i="5"/>
  <c r="M15" i="5"/>
  <c r="G15" i="5"/>
  <c r="H15" i="5" s="1"/>
  <c r="M15" i="12"/>
  <c r="F15" i="12"/>
  <c r="G15" i="12" s="1"/>
  <c r="H15" i="12" s="1"/>
  <c r="B16" i="12"/>
  <c r="B17" i="12" s="1"/>
  <c r="M15" i="2"/>
  <c r="F15" i="2"/>
  <c r="G15" i="2" s="1"/>
  <c r="F15" i="13"/>
  <c r="G15" i="13" s="1"/>
  <c r="H15" i="13" s="1"/>
  <c r="M15" i="13"/>
  <c r="A30" i="5"/>
  <c r="A28" i="13"/>
  <c r="H18" i="14" l="1"/>
  <c r="H15" i="2"/>
  <c r="B18" i="12"/>
  <c r="M17" i="12"/>
  <c r="F17" i="12"/>
  <c r="G17" i="12" s="1"/>
  <c r="B22" i="3"/>
  <c r="M21" i="3"/>
  <c r="F21" i="3"/>
  <c r="G21" i="3" s="1"/>
  <c r="H21" i="3" s="1"/>
  <c r="B20" i="14"/>
  <c r="M19" i="14"/>
  <c r="F19" i="14"/>
  <c r="G19" i="14" s="1"/>
  <c r="F16" i="12"/>
  <c r="G16" i="12" s="1"/>
  <c r="H16" i="12" s="1"/>
  <c r="M16" i="12"/>
  <c r="F16" i="11"/>
  <c r="G16" i="11" s="1"/>
  <c r="H16" i="11" s="1"/>
  <c r="M16" i="11"/>
  <c r="B17" i="5"/>
  <c r="F16" i="1"/>
  <c r="B17" i="13"/>
  <c r="G16" i="1"/>
  <c r="H16" i="1" s="1"/>
  <c r="M16" i="1"/>
  <c r="B17" i="2"/>
  <c r="B17" i="1"/>
  <c r="B17" i="11"/>
  <c r="A23" i="11"/>
  <c r="A29" i="13"/>
  <c r="A31" i="5"/>
  <c r="F16" i="2"/>
  <c r="G16" i="2" s="1"/>
  <c r="M16" i="2"/>
  <c r="F16" i="5"/>
  <c r="G16" i="5" s="1"/>
  <c r="H16" i="5" s="1"/>
  <c r="M16" i="5"/>
  <c r="F16" i="13"/>
  <c r="G16" i="13" s="1"/>
  <c r="H16" i="13" s="1"/>
  <c r="M16" i="13"/>
  <c r="H19" i="14" l="1"/>
  <c r="H17" i="12"/>
  <c r="H16" i="2"/>
  <c r="B21" i="14"/>
  <c r="M20" i="14"/>
  <c r="F20" i="14"/>
  <c r="G20" i="14" s="1"/>
  <c r="B23" i="3"/>
  <c r="M22" i="3"/>
  <c r="F22" i="3"/>
  <c r="G22" i="3" s="1"/>
  <c r="H22" i="3" s="1"/>
  <c r="B19" i="12"/>
  <c r="F18" i="12"/>
  <c r="G18" i="12" s="1"/>
  <c r="H18" i="12" s="1"/>
  <c r="M18" i="12"/>
  <c r="A30" i="13"/>
  <c r="M17" i="1"/>
  <c r="B18" i="5"/>
  <c r="F17" i="1"/>
  <c r="G17" i="1" s="1"/>
  <c r="H17" i="1" s="1"/>
  <c r="B18" i="13"/>
  <c r="B18" i="2"/>
  <c r="B18" i="1"/>
  <c r="B18" i="11"/>
  <c r="A32" i="5"/>
  <c r="B31" i="5"/>
  <c r="A24" i="11"/>
  <c r="F17" i="11"/>
  <c r="G17" i="11" s="1"/>
  <c r="H17" i="11" s="1"/>
  <c r="M17" i="11"/>
  <c r="M17" i="2"/>
  <c r="F17" i="2"/>
  <c r="G17" i="2" s="1"/>
  <c r="F17" i="13"/>
  <c r="G17" i="13" s="1"/>
  <c r="H17" i="13" s="1"/>
  <c r="M17" i="13"/>
  <c r="M17" i="5"/>
  <c r="F17" i="5"/>
  <c r="G17" i="5" s="1"/>
  <c r="H17" i="5" s="1"/>
  <c r="H20" i="14" l="1"/>
  <c r="H17" i="2"/>
  <c r="B20" i="12"/>
  <c r="F19" i="12"/>
  <c r="G19" i="12" s="1"/>
  <c r="H19" i="12" s="1"/>
  <c r="M19" i="12"/>
  <c r="B24" i="3"/>
  <c r="F23" i="3"/>
  <c r="M23" i="3"/>
  <c r="G23" i="3"/>
  <c r="H23" i="3" s="1"/>
  <c r="B22" i="14"/>
  <c r="M21" i="14"/>
  <c r="F21" i="14"/>
  <c r="G21" i="14" s="1"/>
  <c r="A33" i="5"/>
  <c r="B32" i="5"/>
  <c r="M18" i="1"/>
  <c r="B19" i="13"/>
  <c r="F18" i="1"/>
  <c r="G18" i="1" s="1"/>
  <c r="H18" i="1" s="1"/>
  <c r="B19" i="5"/>
  <c r="B19" i="1"/>
  <c r="B19" i="2"/>
  <c r="B19" i="11"/>
  <c r="M18" i="5"/>
  <c r="F18" i="5"/>
  <c r="G18" i="5" s="1"/>
  <c r="H18" i="5" s="1"/>
  <c r="A31" i="13"/>
  <c r="A25" i="11"/>
  <c r="F31" i="5"/>
  <c r="H31" i="5"/>
  <c r="G31" i="5"/>
  <c r="M31" i="5"/>
  <c r="J31" i="5"/>
  <c r="K31" i="5"/>
  <c r="J28" i="6" s="1"/>
  <c r="M18" i="11"/>
  <c r="F18" i="11"/>
  <c r="G18" i="11" s="1"/>
  <c r="H18" i="11" s="1"/>
  <c r="M18" i="2"/>
  <c r="F18" i="2"/>
  <c r="G18" i="2" s="1"/>
  <c r="H18" i="2" s="1"/>
  <c r="M18" i="13"/>
  <c r="F18" i="13"/>
  <c r="G18" i="13" s="1"/>
  <c r="H18" i="13" s="1"/>
  <c r="H21" i="14" l="1"/>
  <c r="B23" i="14"/>
  <c r="M22" i="14"/>
  <c r="F22" i="14"/>
  <c r="G22" i="14" s="1"/>
  <c r="M24" i="3"/>
  <c r="F24" i="3"/>
  <c r="G24" i="3" s="1"/>
  <c r="H24" i="3" s="1"/>
  <c r="B21" i="12"/>
  <c r="M20" i="12"/>
  <c r="F20" i="12"/>
  <c r="G20" i="12" s="1"/>
  <c r="H20" i="12" s="1"/>
  <c r="A32" i="13"/>
  <c r="B31" i="13"/>
  <c r="F19" i="11"/>
  <c r="G19" i="11" s="1"/>
  <c r="H19" i="11" s="1"/>
  <c r="M19" i="11"/>
  <c r="B20" i="5"/>
  <c r="M19" i="1"/>
  <c r="F19" i="1"/>
  <c r="G19" i="1" s="1"/>
  <c r="H19" i="1" s="1"/>
  <c r="B20" i="13"/>
  <c r="B20" i="1"/>
  <c r="B20" i="2"/>
  <c r="B20" i="11"/>
  <c r="M32" i="5"/>
  <c r="G32" i="5"/>
  <c r="H32" i="5"/>
  <c r="F32" i="5"/>
  <c r="J32" i="5"/>
  <c r="K32" i="5"/>
  <c r="J29" i="6" s="1"/>
  <c r="A26" i="11"/>
  <c r="F19" i="2"/>
  <c r="G19" i="2" s="1"/>
  <c r="H19" i="2" s="1"/>
  <c r="M19" i="2"/>
  <c r="F19" i="5"/>
  <c r="G19" i="5" s="1"/>
  <c r="H19" i="5" s="1"/>
  <c r="M19" i="5"/>
  <c r="F19" i="13"/>
  <c r="G19" i="13" s="1"/>
  <c r="H19" i="13" s="1"/>
  <c r="M19" i="13"/>
  <c r="A34" i="5"/>
  <c r="B33" i="5"/>
  <c r="H22" i="14" l="1"/>
  <c r="B22" i="12"/>
  <c r="M21" i="12"/>
  <c r="F21" i="12"/>
  <c r="G21" i="12" s="1"/>
  <c r="H21" i="12" s="1"/>
  <c r="B24" i="14"/>
  <c r="F23" i="14"/>
  <c r="G23" i="14"/>
  <c r="M23" i="14"/>
  <c r="F33" i="5"/>
  <c r="H33" i="5"/>
  <c r="M33" i="5"/>
  <c r="G33" i="5"/>
  <c r="K33" i="5"/>
  <c r="J30" i="6" s="1"/>
  <c r="J33" i="5"/>
  <c r="A35" i="5"/>
  <c r="B34" i="5"/>
  <c r="F20" i="2"/>
  <c r="G20" i="2" s="1"/>
  <c r="H20" i="2" s="1"/>
  <c r="M20" i="2"/>
  <c r="M20" i="13"/>
  <c r="F20" i="13"/>
  <c r="G20" i="13" s="1"/>
  <c r="H20" i="13" s="1"/>
  <c r="M20" i="5"/>
  <c r="F20" i="5"/>
  <c r="G20" i="5" s="1"/>
  <c r="H20" i="5" s="1"/>
  <c r="M31" i="13"/>
  <c r="G31" i="13"/>
  <c r="F31" i="13"/>
  <c r="H31" i="13"/>
  <c r="K31" i="13"/>
  <c r="G28" i="6" s="1"/>
  <c r="A27" i="11"/>
  <c r="M20" i="11"/>
  <c r="F20" i="11"/>
  <c r="G20" i="11" s="1"/>
  <c r="H20" i="11" s="1"/>
  <c r="F20" i="1"/>
  <c r="G20" i="1" s="1"/>
  <c r="H20" i="1" s="1"/>
  <c r="B21" i="5"/>
  <c r="M20" i="1"/>
  <c r="B21" i="1"/>
  <c r="B21" i="2"/>
  <c r="B21" i="13"/>
  <c r="B21" i="11"/>
  <c r="B32" i="13"/>
  <c r="A33" i="13"/>
  <c r="H23" i="14" l="1"/>
  <c r="M24" i="14"/>
  <c r="F24" i="14"/>
  <c r="G24" i="14" s="1"/>
  <c r="B23" i="12"/>
  <c r="F22" i="12"/>
  <c r="G22" i="12" s="1"/>
  <c r="H22" i="12" s="1"/>
  <c r="M22" i="12"/>
  <c r="M21" i="11"/>
  <c r="F21" i="11"/>
  <c r="G21" i="11" s="1"/>
  <c r="H21" i="11" s="1"/>
  <c r="M32" i="13"/>
  <c r="G32" i="13"/>
  <c r="H32" i="13"/>
  <c r="F32" i="13"/>
  <c r="K32" i="13"/>
  <c r="G29" i="6" s="1"/>
  <c r="F21" i="13"/>
  <c r="G21" i="13" s="1"/>
  <c r="H21" i="13" s="1"/>
  <c r="M21" i="13"/>
  <c r="F21" i="1"/>
  <c r="M21" i="1"/>
  <c r="G21" i="1"/>
  <c r="H21" i="1" s="1"/>
  <c r="B22" i="5"/>
  <c r="B22" i="1"/>
  <c r="B22" i="2"/>
  <c r="B22" i="13"/>
  <c r="B22" i="11"/>
  <c r="A28" i="11"/>
  <c r="A36" i="5"/>
  <c r="B35" i="5"/>
  <c r="A34" i="13"/>
  <c r="B33" i="13"/>
  <c r="F21" i="2"/>
  <c r="M21" i="2"/>
  <c r="G21" i="2"/>
  <c r="H21" i="2" s="1"/>
  <c r="F21" i="5"/>
  <c r="G21" i="5" s="1"/>
  <c r="H21" i="5" s="1"/>
  <c r="M21" i="5"/>
  <c r="M34" i="5"/>
  <c r="H34" i="5"/>
  <c r="G34" i="5"/>
  <c r="F34" i="5"/>
  <c r="J34" i="5"/>
  <c r="K34" i="5"/>
  <c r="J31" i="6" s="1"/>
  <c r="H24" i="14" l="1"/>
  <c r="B24" i="12"/>
  <c r="F23" i="12"/>
  <c r="G23" i="12" s="1"/>
  <c r="H23" i="12" s="1"/>
  <c r="M23" i="12"/>
  <c r="B34" i="13"/>
  <c r="A35" i="13"/>
  <c r="A37" i="5"/>
  <c r="B36" i="5"/>
  <c r="A29" i="11"/>
  <c r="F22" i="13"/>
  <c r="G22" i="13" s="1"/>
  <c r="H22" i="13" s="1"/>
  <c r="M22" i="13"/>
  <c r="F22" i="1"/>
  <c r="G22" i="1" s="1"/>
  <c r="H22" i="1" s="1"/>
  <c r="M22" i="1"/>
  <c r="B23" i="1"/>
  <c r="B23" i="2"/>
  <c r="B23" i="5"/>
  <c r="B23" i="13"/>
  <c r="B23" i="11"/>
  <c r="G33" i="13"/>
  <c r="F33" i="13"/>
  <c r="M33" i="13"/>
  <c r="H33" i="13"/>
  <c r="K33" i="13"/>
  <c r="G30" i="6" s="1"/>
  <c r="M35" i="5"/>
  <c r="G35" i="5"/>
  <c r="H35" i="5"/>
  <c r="F35" i="5"/>
  <c r="J35" i="5"/>
  <c r="K35" i="5"/>
  <c r="J32" i="6" s="1"/>
  <c r="M22" i="11"/>
  <c r="F22" i="11"/>
  <c r="G22" i="11" s="1"/>
  <c r="H22" i="11" s="1"/>
  <c r="M22" i="2"/>
  <c r="F22" i="2"/>
  <c r="G22" i="2" s="1"/>
  <c r="H22" i="2" s="1"/>
  <c r="F22" i="5"/>
  <c r="G22" i="5" s="1"/>
  <c r="H22" i="5" s="1"/>
  <c r="M22" i="5"/>
  <c r="F24" i="12" l="1"/>
  <c r="G24" i="12" s="1"/>
  <c r="H24" i="12" s="1"/>
  <c r="M24" i="12"/>
  <c r="F23" i="13"/>
  <c r="G23" i="13" s="1"/>
  <c r="H23" i="13" s="1"/>
  <c r="M23" i="13"/>
  <c r="M23" i="2"/>
  <c r="F23" i="2"/>
  <c r="G23" i="2" s="1"/>
  <c r="H23" i="2" s="1"/>
  <c r="A30" i="11"/>
  <c r="M36" i="5"/>
  <c r="G36" i="5"/>
  <c r="F36" i="5"/>
  <c r="H36" i="5"/>
  <c r="J36" i="5"/>
  <c r="K36" i="5"/>
  <c r="J33" i="6" s="1"/>
  <c r="A36" i="13"/>
  <c r="B35" i="13"/>
  <c r="F23" i="11"/>
  <c r="G23" i="11" s="1"/>
  <c r="H23" i="11" s="1"/>
  <c r="M23" i="11"/>
  <c r="M23" i="5"/>
  <c r="F23" i="5"/>
  <c r="G23" i="5" s="1"/>
  <c r="H23" i="5" s="1"/>
  <c r="F23" i="1"/>
  <c r="G23" i="1" s="1"/>
  <c r="H23" i="1" s="1"/>
  <c r="M23" i="1"/>
  <c r="B24" i="1"/>
  <c r="B24" i="2"/>
  <c r="B24" i="5"/>
  <c r="B24" i="13"/>
  <c r="B24" i="11"/>
  <c r="A38" i="5"/>
  <c r="B37" i="5"/>
  <c r="M34" i="13"/>
  <c r="G34" i="13"/>
  <c r="F34" i="13"/>
  <c r="H34" i="13"/>
  <c r="K34" i="13"/>
  <c r="G31" i="6" s="1"/>
  <c r="A39" i="5" l="1"/>
  <c r="B38" i="5"/>
  <c r="F24" i="11"/>
  <c r="G24" i="11" s="1"/>
  <c r="H24" i="11" s="1"/>
  <c r="M24" i="11"/>
  <c r="M24" i="5"/>
  <c r="F24" i="5"/>
  <c r="G24" i="5" s="1"/>
  <c r="H24" i="5" s="1"/>
  <c r="F24" i="1"/>
  <c r="G24" i="1" s="1"/>
  <c r="H24" i="1" s="1"/>
  <c r="M24" i="1"/>
  <c r="B25" i="1"/>
  <c r="B25" i="2"/>
  <c r="B25" i="5"/>
  <c r="B25" i="13"/>
  <c r="B25" i="11"/>
  <c r="M35" i="13"/>
  <c r="G35" i="13"/>
  <c r="H35" i="13"/>
  <c r="F35" i="13"/>
  <c r="K35" i="13"/>
  <c r="G32" i="6" s="1"/>
  <c r="F37" i="5"/>
  <c r="H37" i="5"/>
  <c r="G37" i="5"/>
  <c r="M37" i="5"/>
  <c r="J37" i="5"/>
  <c r="K37" i="5"/>
  <c r="J34" i="6" s="1"/>
  <c r="M24" i="13"/>
  <c r="F24" i="13"/>
  <c r="G24" i="13" s="1"/>
  <c r="H24" i="13" s="1"/>
  <c r="F24" i="2"/>
  <c r="G24" i="2" s="1"/>
  <c r="H24" i="2" s="1"/>
  <c r="M24" i="2"/>
  <c r="A37" i="13"/>
  <c r="B36" i="13"/>
  <c r="A31" i="11"/>
  <c r="A32" i="11" l="1"/>
  <c r="B31" i="11"/>
  <c r="A38" i="13"/>
  <c r="B37" i="13"/>
  <c r="M25" i="11"/>
  <c r="F25" i="11"/>
  <c r="G25" i="11" s="1"/>
  <c r="H25" i="11" s="1"/>
  <c r="M25" i="5"/>
  <c r="F25" i="5"/>
  <c r="G25" i="5" s="1"/>
  <c r="H25" i="5" s="1"/>
  <c r="M25" i="1"/>
  <c r="F25" i="1"/>
  <c r="G25" i="1" s="1"/>
  <c r="H25" i="1" s="1"/>
  <c r="B26" i="2"/>
  <c r="B26" i="1"/>
  <c r="B26" i="5"/>
  <c r="B26" i="13"/>
  <c r="B26" i="11"/>
  <c r="G38" i="5"/>
  <c r="M38" i="5"/>
  <c r="F38" i="5"/>
  <c r="H38" i="5"/>
  <c r="K38" i="5"/>
  <c r="J35" i="6" s="1"/>
  <c r="J38" i="5"/>
  <c r="M36" i="13"/>
  <c r="G36" i="13"/>
  <c r="F36" i="13"/>
  <c r="H36" i="13"/>
  <c r="K36" i="13"/>
  <c r="G33" i="6" s="1"/>
  <c r="M25" i="13"/>
  <c r="F25" i="13"/>
  <c r="G25" i="13" s="1"/>
  <c r="H25" i="13" s="1"/>
  <c r="F25" i="2"/>
  <c r="G25" i="2" s="1"/>
  <c r="H25" i="2" s="1"/>
  <c r="M25" i="2"/>
  <c r="B39" i="5"/>
  <c r="A40" i="5"/>
  <c r="B27" i="5" l="1"/>
  <c r="B27" i="13"/>
  <c r="B27" i="11"/>
  <c r="A41" i="5"/>
  <c r="B40" i="5"/>
  <c r="F39" i="5"/>
  <c r="H39" i="5"/>
  <c r="G39" i="5"/>
  <c r="M39" i="5"/>
  <c r="K39" i="5"/>
  <c r="J36" i="6" s="1"/>
  <c r="J39" i="5"/>
  <c r="F26" i="13"/>
  <c r="G26" i="13" s="1"/>
  <c r="H26" i="13" s="1"/>
  <c r="M26" i="13"/>
  <c r="F26" i="1"/>
  <c r="G26" i="1" s="1"/>
  <c r="H26" i="1" s="1"/>
  <c r="M26" i="1"/>
  <c r="B27" i="2"/>
  <c r="B27" i="1"/>
  <c r="B38" i="13"/>
  <c r="A39" i="13"/>
  <c r="M31" i="11"/>
  <c r="G31" i="11"/>
  <c r="F31" i="11"/>
  <c r="H31" i="11"/>
  <c r="K31" i="11"/>
  <c r="E28" i="6" s="1"/>
  <c r="F26" i="11"/>
  <c r="G26" i="11" s="1"/>
  <c r="H26" i="11" s="1"/>
  <c r="M26" i="11"/>
  <c r="F26" i="5"/>
  <c r="G26" i="5" s="1"/>
  <c r="H26" i="5" s="1"/>
  <c r="M26" i="5"/>
  <c r="M26" i="2"/>
  <c r="F26" i="2"/>
  <c r="G26" i="2" s="1"/>
  <c r="H26" i="2" s="1"/>
  <c r="F37" i="13"/>
  <c r="H37" i="13"/>
  <c r="G37" i="13"/>
  <c r="M37" i="13"/>
  <c r="K37" i="13"/>
  <c r="G34" i="6" s="1"/>
  <c r="B32" i="11"/>
  <c r="A33" i="11"/>
  <c r="B28" i="5" l="1"/>
  <c r="B28" i="13"/>
  <c r="B28" i="11"/>
  <c r="M27" i="11"/>
  <c r="F27" i="11"/>
  <c r="G27" i="11" s="1"/>
  <c r="H27" i="11" s="1"/>
  <c r="M27" i="5"/>
  <c r="F27" i="5"/>
  <c r="G27" i="5" s="1"/>
  <c r="H27" i="5" s="1"/>
  <c r="M27" i="13"/>
  <c r="F27" i="13"/>
  <c r="G27" i="13" s="1"/>
  <c r="H27" i="13" s="1"/>
  <c r="M32" i="11"/>
  <c r="H32" i="11"/>
  <c r="F32" i="11"/>
  <c r="G32" i="11"/>
  <c r="K32" i="11"/>
  <c r="E29" i="6" s="1"/>
  <c r="A34" i="11"/>
  <c r="B33" i="11"/>
  <c r="F38" i="13"/>
  <c r="H38" i="13"/>
  <c r="M38" i="13"/>
  <c r="G38" i="13"/>
  <c r="K38" i="13"/>
  <c r="G35" i="6" s="1"/>
  <c r="F27" i="2"/>
  <c r="G27" i="2" s="1"/>
  <c r="H27" i="2" s="1"/>
  <c r="M27" i="2"/>
  <c r="F40" i="5"/>
  <c r="H40" i="5"/>
  <c r="M40" i="5"/>
  <c r="G40" i="5"/>
  <c r="K40" i="5"/>
  <c r="J37" i="6" s="1"/>
  <c r="J40" i="5"/>
  <c r="A40" i="13"/>
  <c r="B39" i="13"/>
  <c r="M27" i="1"/>
  <c r="F27" i="1"/>
  <c r="G27" i="1" s="1"/>
  <c r="H27" i="1" s="1"/>
  <c r="B28" i="2"/>
  <c r="B28" i="1"/>
  <c r="A42" i="5"/>
  <c r="B41" i="5"/>
  <c r="B29" i="2" l="1"/>
  <c r="B29" i="1"/>
  <c r="B29" i="5"/>
  <c r="B29" i="13"/>
  <c r="B29" i="11"/>
  <c r="F28" i="11"/>
  <c r="G28" i="11" s="1"/>
  <c r="H28" i="11" s="1"/>
  <c r="M28" i="11"/>
  <c r="M28" i="5"/>
  <c r="F28" i="5"/>
  <c r="G28" i="5" s="1"/>
  <c r="H28" i="5" s="1"/>
  <c r="F28" i="13"/>
  <c r="G28" i="13" s="1"/>
  <c r="H28" i="13" s="1"/>
  <c r="M28" i="13"/>
  <c r="M28" i="1"/>
  <c r="F28" i="1"/>
  <c r="G28" i="1" s="1"/>
  <c r="H28" i="1" s="1"/>
  <c r="F41" i="5"/>
  <c r="H41" i="5"/>
  <c r="M41" i="5"/>
  <c r="G41" i="5"/>
  <c r="J41" i="5"/>
  <c r="K41" i="5"/>
  <c r="J38" i="6" s="1"/>
  <c r="M28" i="2"/>
  <c r="F28" i="2"/>
  <c r="G28" i="2" s="1"/>
  <c r="H28" i="2" s="1"/>
  <c r="F39" i="13"/>
  <c r="H39" i="13"/>
  <c r="G39" i="13"/>
  <c r="M39" i="13"/>
  <c r="K39" i="13"/>
  <c r="G36" i="6" s="1"/>
  <c r="A35" i="11"/>
  <c r="B34" i="11"/>
  <c r="A43" i="5"/>
  <c r="B42" i="5"/>
  <c r="A41" i="13"/>
  <c r="B40" i="13"/>
  <c r="M33" i="11"/>
  <c r="G33" i="11"/>
  <c r="H33" i="11"/>
  <c r="F33" i="11"/>
  <c r="K33" i="11"/>
  <c r="E30" i="6" s="1"/>
  <c r="F29" i="13" l="1"/>
  <c r="G29" i="13" s="1"/>
  <c r="H29" i="13" s="1"/>
  <c r="M29" i="13"/>
  <c r="B30" i="2"/>
  <c r="F29" i="1"/>
  <c r="G29" i="1" s="1"/>
  <c r="H29" i="1" s="1"/>
  <c r="B30" i="1"/>
  <c r="M29" i="1"/>
  <c r="B30" i="5"/>
  <c r="B30" i="13"/>
  <c r="B30" i="11"/>
  <c r="F29" i="11"/>
  <c r="G29" i="11" s="1"/>
  <c r="H29" i="11" s="1"/>
  <c r="M29" i="11"/>
  <c r="F29" i="5"/>
  <c r="G29" i="5" s="1"/>
  <c r="H29" i="5" s="1"/>
  <c r="M29" i="5"/>
  <c r="M29" i="2"/>
  <c r="F29" i="2"/>
  <c r="G29" i="2" s="1"/>
  <c r="H29" i="2" s="1"/>
  <c r="A42" i="13"/>
  <c r="B41" i="13"/>
  <c r="B43" i="5"/>
  <c r="A44" i="5"/>
  <c r="A36" i="11"/>
  <c r="B35" i="11"/>
  <c r="F40" i="13"/>
  <c r="H40" i="13"/>
  <c r="M40" i="13"/>
  <c r="G40" i="13"/>
  <c r="K40" i="13"/>
  <c r="G37" i="6" s="1"/>
  <c r="M42" i="5"/>
  <c r="H42" i="5"/>
  <c r="G42" i="5"/>
  <c r="F42" i="5"/>
  <c r="K42" i="5"/>
  <c r="J39" i="6" s="1"/>
  <c r="J42" i="5"/>
  <c r="M34" i="11"/>
  <c r="G34" i="11"/>
  <c r="F34" i="11"/>
  <c r="H34" i="11"/>
  <c r="K34" i="11"/>
  <c r="E31" i="6" s="1"/>
  <c r="F30" i="11" l="1"/>
  <c r="M30" i="11"/>
  <c r="G30" i="11"/>
  <c r="H30" i="11" s="1"/>
  <c r="F30" i="5"/>
  <c r="G30" i="5" s="1"/>
  <c r="H30" i="5" s="1"/>
  <c r="M30" i="5"/>
  <c r="F30" i="13"/>
  <c r="M30" i="13"/>
  <c r="G30" i="13"/>
  <c r="H30" i="13" s="1"/>
  <c r="B31" i="1"/>
  <c r="F30" i="1"/>
  <c r="G30" i="1" s="1"/>
  <c r="H30" i="1" s="1"/>
  <c r="B31" i="2"/>
  <c r="M30" i="1"/>
  <c r="M30" i="2"/>
  <c r="F30" i="2"/>
  <c r="G30" i="2" s="1"/>
  <c r="H30" i="2" s="1"/>
  <c r="F35" i="11"/>
  <c r="H35" i="11"/>
  <c r="G35" i="11"/>
  <c r="M35" i="11"/>
  <c r="K35" i="11"/>
  <c r="E32" i="6" s="1"/>
  <c r="B44" i="5"/>
  <c r="A45" i="5"/>
  <c r="F41" i="13"/>
  <c r="H41" i="13"/>
  <c r="M41" i="13"/>
  <c r="G41" i="13"/>
  <c r="K41" i="13"/>
  <c r="G38" i="6" s="1"/>
  <c r="B36" i="11"/>
  <c r="A37" i="11"/>
  <c r="M43" i="5"/>
  <c r="F43" i="5"/>
  <c r="J43" i="5"/>
  <c r="K43" i="5"/>
  <c r="J40" i="6" s="1"/>
  <c r="H43" i="5"/>
  <c r="G43" i="5"/>
  <c r="B42" i="13"/>
  <c r="A43" i="13"/>
  <c r="B32" i="1" l="1"/>
  <c r="B32" i="2"/>
  <c r="F31" i="1"/>
  <c r="G31" i="1" s="1"/>
  <c r="H31" i="1" s="1"/>
  <c r="M31" i="1"/>
  <c r="F31" i="2"/>
  <c r="M31" i="2"/>
  <c r="G31" i="2"/>
  <c r="H31" i="2" s="1"/>
  <c r="M42" i="13"/>
  <c r="G42" i="13"/>
  <c r="F42" i="13"/>
  <c r="H42" i="13"/>
  <c r="K42" i="13"/>
  <c r="G39" i="6" s="1"/>
  <c r="A38" i="11"/>
  <c r="B37" i="11"/>
  <c r="M44" i="5"/>
  <c r="G44" i="5"/>
  <c r="H44" i="5"/>
  <c r="K44" i="5"/>
  <c r="J41" i="6" s="1"/>
  <c r="F44" i="5"/>
  <c r="J44" i="5"/>
  <c r="B43" i="13"/>
  <c r="A44" i="13"/>
  <c r="M36" i="11"/>
  <c r="H36" i="11"/>
  <c r="G36" i="11"/>
  <c r="F36" i="11"/>
  <c r="K36" i="11"/>
  <c r="E33" i="6" s="1"/>
  <c r="B45" i="5"/>
  <c r="A46" i="5"/>
  <c r="F32" i="2" l="1"/>
  <c r="G32" i="2" s="1"/>
  <c r="H32" i="2" s="1"/>
  <c r="M32" i="2"/>
  <c r="B33" i="2"/>
  <c r="B33" i="1"/>
  <c r="M32" i="1"/>
  <c r="F32" i="1"/>
  <c r="G32" i="1" s="1"/>
  <c r="H32" i="1" s="1"/>
  <c r="A39" i="11"/>
  <c r="B38" i="11"/>
  <c r="J45" i="5"/>
  <c r="H45" i="5"/>
  <c r="F45" i="5"/>
  <c r="G45" i="5"/>
  <c r="M45" i="5"/>
  <c r="K45" i="5"/>
  <c r="J42" i="6" s="1"/>
  <c r="B44" i="13"/>
  <c r="A45" i="13"/>
  <c r="A47" i="5"/>
  <c r="B46" i="5"/>
  <c r="F43" i="13"/>
  <c r="K43" i="13"/>
  <c r="G40" i="6" s="1"/>
  <c r="G43" i="13"/>
  <c r="H43" i="13"/>
  <c r="M43" i="13"/>
  <c r="F37" i="11"/>
  <c r="H37" i="11"/>
  <c r="G37" i="11"/>
  <c r="M37" i="11"/>
  <c r="K37" i="11"/>
  <c r="E34" i="6" s="1"/>
  <c r="B34" i="1" l="1"/>
  <c r="B34" i="2"/>
  <c r="M33" i="1"/>
  <c r="F33" i="1"/>
  <c r="G33" i="1" s="1"/>
  <c r="H33" i="1" s="1"/>
  <c r="M33" i="2"/>
  <c r="F33" i="2"/>
  <c r="G33" i="2" s="1"/>
  <c r="H33" i="2" s="1"/>
  <c r="A48" i="5"/>
  <c r="B47" i="5"/>
  <c r="G44" i="13"/>
  <c r="M44" i="13"/>
  <c r="K44" i="13"/>
  <c r="G41" i="6" s="1"/>
  <c r="H44" i="13"/>
  <c r="F44" i="13"/>
  <c r="F38" i="11"/>
  <c r="H38" i="11"/>
  <c r="M38" i="11"/>
  <c r="G38" i="11"/>
  <c r="K38" i="11"/>
  <c r="E35" i="6" s="1"/>
  <c r="J46" i="5"/>
  <c r="K46" i="5"/>
  <c r="J43" i="6" s="1"/>
  <c r="H46" i="5"/>
  <c r="M46" i="5"/>
  <c r="G46" i="5"/>
  <c r="F46" i="5"/>
  <c r="A46" i="13"/>
  <c r="B45" i="13"/>
  <c r="A40" i="11"/>
  <c r="B39" i="11"/>
  <c r="B35" i="1" l="1"/>
  <c r="B35" i="2"/>
  <c r="M34" i="2"/>
  <c r="F34" i="2"/>
  <c r="G34" i="2" s="1"/>
  <c r="H34" i="2" s="1"/>
  <c r="F34" i="1"/>
  <c r="G34" i="1" s="1"/>
  <c r="H34" i="1" s="1"/>
  <c r="M34" i="1"/>
  <c r="F39" i="11"/>
  <c r="H39" i="11"/>
  <c r="G39" i="11"/>
  <c r="M39" i="11"/>
  <c r="K39" i="11"/>
  <c r="E36" i="6" s="1"/>
  <c r="B40" i="11"/>
  <c r="A41" i="11"/>
  <c r="B46" i="13"/>
  <c r="A47" i="13"/>
  <c r="J47" i="5"/>
  <c r="H47" i="5"/>
  <c r="K47" i="5"/>
  <c r="J44" i="6" s="1"/>
  <c r="G47" i="5"/>
  <c r="F47" i="5"/>
  <c r="M47" i="5"/>
  <c r="M45" i="13"/>
  <c r="F45" i="13"/>
  <c r="H45" i="13"/>
  <c r="G45" i="13"/>
  <c r="K45" i="13"/>
  <c r="G42" i="6" s="1"/>
  <c r="A49" i="5"/>
  <c r="B48" i="5"/>
  <c r="M35" i="2" l="1"/>
  <c r="F35" i="2"/>
  <c r="G35" i="2" s="1"/>
  <c r="H35" i="2" s="1"/>
  <c r="B36" i="1"/>
  <c r="F35" i="1"/>
  <c r="G35" i="1" s="1"/>
  <c r="H35" i="1" s="1"/>
  <c r="M35" i="1"/>
  <c r="B36" i="2"/>
  <c r="A50" i="5"/>
  <c r="B49" i="5"/>
  <c r="G46" i="13"/>
  <c r="F46" i="13"/>
  <c r="M46" i="13"/>
  <c r="K46" i="13"/>
  <c r="G43" i="6" s="1"/>
  <c r="H46" i="13"/>
  <c r="G40" i="11"/>
  <c r="F40" i="11"/>
  <c r="M40" i="11"/>
  <c r="H40" i="11"/>
  <c r="K40" i="11"/>
  <c r="E37" i="6" s="1"/>
  <c r="J48" i="5"/>
  <c r="K48" i="5"/>
  <c r="J45" i="6" s="1"/>
  <c r="F48" i="5"/>
  <c r="M48" i="5"/>
  <c r="G48" i="5"/>
  <c r="H48" i="5"/>
  <c r="A48" i="13"/>
  <c r="B47" i="13"/>
  <c r="A42" i="11"/>
  <c r="B41" i="11"/>
  <c r="M36" i="2" l="1"/>
  <c r="F36" i="2"/>
  <c r="G36" i="2" s="1"/>
  <c r="H36" i="2" s="1"/>
  <c r="N5" i="2" s="1"/>
  <c r="M36" i="1"/>
  <c r="F36" i="1"/>
  <c r="G36" i="1" s="1"/>
  <c r="H36" i="1" s="1"/>
  <c r="N5" i="1" s="1"/>
  <c r="F41" i="11"/>
  <c r="H41" i="11"/>
  <c r="M41" i="11"/>
  <c r="G41" i="11"/>
  <c r="K41" i="11"/>
  <c r="E38" i="6" s="1"/>
  <c r="A43" i="11"/>
  <c r="B42" i="11"/>
  <c r="B48" i="13"/>
  <c r="A49" i="13"/>
  <c r="J49" i="5"/>
  <c r="H49" i="5"/>
  <c r="M49" i="5"/>
  <c r="K49" i="5"/>
  <c r="J46" i="6" s="1"/>
  <c r="G49" i="5"/>
  <c r="F49" i="5"/>
  <c r="M47" i="13"/>
  <c r="F47" i="13"/>
  <c r="K47" i="13"/>
  <c r="G44" i="6" s="1"/>
  <c r="G47" i="13"/>
  <c r="H47" i="13"/>
  <c r="A51" i="5"/>
  <c r="B50" i="5"/>
  <c r="A52" i="5" l="1"/>
  <c r="B51" i="5"/>
  <c r="G48" i="13"/>
  <c r="K48" i="13"/>
  <c r="G45" i="6" s="1"/>
  <c r="H48" i="13"/>
  <c r="M48" i="13"/>
  <c r="F48" i="13"/>
  <c r="A44" i="11"/>
  <c r="B43" i="11"/>
  <c r="J50" i="5"/>
  <c r="K50" i="5"/>
  <c r="J47" i="6" s="1"/>
  <c r="H50" i="5"/>
  <c r="M50" i="5"/>
  <c r="G50" i="5"/>
  <c r="F50" i="5"/>
  <c r="A50" i="13"/>
  <c r="B49" i="13"/>
  <c r="M42" i="11"/>
  <c r="G42" i="11"/>
  <c r="F42" i="11"/>
  <c r="H42" i="11"/>
  <c r="K42" i="11"/>
  <c r="E39" i="6" s="1"/>
  <c r="M49" i="13" l="1"/>
  <c r="F49" i="13"/>
  <c r="K49" i="13"/>
  <c r="G46" i="6" s="1"/>
  <c r="G49" i="13"/>
  <c r="H49" i="13"/>
  <c r="A45" i="11"/>
  <c r="B44" i="11"/>
  <c r="J51" i="5"/>
  <c r="H51" i="5"/>
  <c r="K51" i="5"/>
  <c r="J48" i="6" s="1"/>
  <c r="G51" i="5"/>
  <c r="M51" i="5"/>
  <c r="F51" i="5"/>
  <c r="B50" i="13"/>
  <c r="A51" i="13"/>
  <c r="M43" i="11"/>
  <c r="H43" i="11"/>
  <c r="K43" i="11"/>
  <c r="E40" i="6" s="1"/>
  <c r="G43" i="11"/>
  <c r="F43" i="11"/>
  <c r="A53" i="5"/>
  <c r="B52" i="5"/>
  <c r="J52" i="5" l="1"/>
  <c r="K52" i="5"/>
  <c r="J49" i="6" s="1"/>
  <c r="F52" i="5"/>
  <c r="M52" i="5"/>
  <c r="G52" i="5"/>
  <c r="H52" i="5"/>
  <c r="A54" i="5"/>
  <c r="B53" i="5"/>
  <c r="A52" i="13"/>
  <c r="B51" i="13"/>
  <c r="A46" i="11"/>
  <c r="B45" i="11"/>
  <c r="G50" i="13"/>
  <c r="F50" i="13"/>
  <c r="K50" i="13"/>
  <c r="G47" i="6" s="1"/>
  <c r="M50" i="13"/>
  <c r="H50" i="13"/>
  <c r="M44" i="11"/>
  <c r="G44" i="11"/>
  <c r="F44" i="11"/>
  <c r="K44" i="11"/>
  <c r="E41" i="6" s="1"/>
  <c r="H44" i="11"/>
  <c r="M45" i="11" l="1"/>
  <c r="F45" i="11"/>
  <c r="K45" i="11"/>
  <c r="E42" i="6" s="1"/>
  <c r="G45" i="11"/>
  <c r="H45" i="11"/>
  <c r="M51" i="13"/>
  <c r="F51" i="13"/>
  <c r="K51" i="13"/>
  <c r="G48" i="6" s="1"/>
  <c r="G51" i="13"/>
  <c r="H51" i="13"/>
  <c r="J53" i="5"/>
  <c r="H53" i="5"/>
  <c r="M53" i="5"/>
  <c r="K53" i="5"/>
  <c r="J50" i="6" s="1"/>
  <c r="F53" i="5"/>
  <c r="G53" i="5"/>
  <c r="B46" i="11"/>
  <c r="A47" i="11"/>
  <c r="B52" i="13"/>
  <c r="A53" i="13"/>
  <c r="A55" i="5"/>
  <c r="B54" i="5"/>
  <c r="B55" i="5" l="1"/>
  <c r="A56" i="5"/>
  <c r="M52" i="13"/>
  <c r="K52" i="13"/>
  <c r="G49" i="6" s="1"/>
  <c r="G52" i="13"/>
  <c r="F52" i="13"/>
  <c r="H52" i="13"/>
  <c r="M46" i="11"/>
  <c r="K46" i="11"/>
  <c r="E43" i="6" s="1"/>
  <c r="H46" i="11"/>
  <c r="F46" i="11"/>
  <c r="G46" i="11"/>
  <c r="M54" i="5"/>
  <c r="G54" i="5"/>
  <c r="F54" i="5"/>
  <c r="K54" i="5"/>
  <c r="J51" i="6" s="1"/>
  <c r="H54" i="5"/>
  <c r="J54" i="5"/>
  <c r="B53" i="13"/>
  <c r="A54" i="13"/>
  <c r="B47" i="11"/>
  <c r="A48" i="11"/>
  <c r="B48" i="11" l="1"/>
  <c r="A49" i="11"/>
  <c r="A55" i="13"/>
  <c r="B54" i="13"/>
  <c r="B56" i="5"/>
  <c r="A57" i="5"/>
  <c r="H47" i="11"/>
  <c r="K47" i="11"/>
  <c r="E44" i="6" s="1"/>
  <c r="G47" i="11"/>
  <c r="M47" i="11"/>
  <c r="F47" i="11"/>
  <c r="G53" i="13"/>
  <c r="F53" i="13"/>
  <c r="H53" i="13"/>
  <c r="K53" i="13"/>
  <c r="G50" i="6" s="1"/>
  <c r="M53" i="13"/>
  <c r="M55" i="5"/>
  <c r="F55" i="5"/>
  <c r="J55" i="5"/>
  <c r="H55" i="5"/>
  <c r="G55" i="5"/>
  <c r="K55" i="5"/>
  <c r="J52" i="6" s="1"/>
  <c r="B57" i="5" l="1"/>
  <c r="A58" i="5"/>
  <c r="M54" i="13"/>
  <c r="H54" i="13"/>
  <c r="K54" i="13"/>
  <c r="G51" i="6" s="1"/>
  <c r="G54" i="13"/>
  <c r="F54" i="13"/>
  <c r="A50" i="11"/>
  <c r="B49" i="11"/>
  <c r="M56" i="5"/>
  <c r="G56" i="5"/>
  <c r="H56" i="5"/>
  <c r="K56" i="5"/>
  <c r="J53" i="6" s="1"/>
  <c r="F56" i="5"/>
  <c r="J56" i="5"/>
  <c r="A56" i="13"/>
  <c r="B55" i="13"/>
  <c r="G48" i="11"/>
  <c r="F48" i="11"/>
  <c r="H48" i="11"/>
  <c r="M48" i="11"/>
  <c r="K48" i="11"/>
  <c r="E45" i="6" s="1"/>
  <c r="M55" i="13" l="1"/>
  <c r="G55" i="13"/>
  <c r="F55" i="13"/>
  <c r="H55" i="13"/>
  <c r="K55" i="13"/>
  <c r="G52" i="6" s="1"/>
  <c r="A51" i="11"/>
  <c r="B50" i="11"/>
  <c r="B58" i="5"/>
  <c r="A59" i="5"/>
  <c r="A57" i="13"/>
  <c r="B56" i="13"/>
  <c r="M49" i="11"/>
  <c r="H49" i="11"/>
  <c r="F49" i="11"/>
  <c r="G49" i="11"/>
  <c r="K49" i="11"/>
  <c r="E46" i="6" s="1"/>
  <c r="M57" i="5"/>
  <c r="F57" i="5"/>
  <c r="K57" i="5"/>
  <c r="J54" i="6" s="1"/>
  <c r="G57" i="5"/>
  <c r="J57" i="5"/>
  <c r="H57" i="5"/>
  <c r="M56" i="13" l="1"/>
  <c r="F56" i="13"/>
  <c r="H56" i="13"/>
  <c r="G56" i="13"/>
  <c r="K56" i="13"/>
  <c r="G53" i="6" s="1"/>
  <c r="B59" i="5"/>
  <c r="A60" i="5"/>
  <c r="M50" i="11"/>
  <c r="G50" i="11"/>
  <c r="F50" i="11"/>
  <c r="K50" i="11"/>
  <c r="E47" i="6" s="1"/>
  <c r="H50" i="11"/>
  <c r="B57" i="13"/>
  <c r="A58" i="13"/>
  <c r="M58" i="5"/>
  <c r="G58" i="5"/>
  <c r="F58" i="5"/>
  <c r="K58" i="5"/>
  <c r="J55" i="6" s="1"/>
  <c r="H58" i="5"/>
  <c r="J58" i="5"/>
  <c r="A52" i="11"/>
  <c r="B51" i="11"/>
  <c r="A53" i="11" l="1"/>
  <c r="B52" i="11"/>
  <c r="B58" i="13"/>
  <c r="A59" i="13"/>
  <c r="M59" i="5"/>
  <c r="F59" i="5"/>
  <c r="J59" i="5"/>
  <c r="H59" i="5"/>
  <c r="G59" i="5"/>
  <c r="K59" i="5"/>
  <c r="J56" i="6" s="1"/>
  <c r="M51" i="11"/>
  <c r="H51" i="11"/>
  <c r="K51" i="11"/>
  <c r="E48" i="6" s="1"/>
  <c r="G51" i="11"/>
  <c r="F51" i="11"/>
  <c r="K57" i="13"/>
  <c r="G54" i="6" s="1"/>
  <c r="H57" i="13"/>
  <c r="G57" i="13"/>
  <c r="F57" i="13"/>
  <c r="M57" i="13"/>
  <c r="B60" i="5"/>
  <c r="A61" i="5"/>
  <c r="B61" i="5" l="1"/>
  <c r="A62" i="5"/>
  <c r="A60" i="13"/>
  <c r="B59" i="13"/>
  <c r="M52" i="11"/>
  <c r="K52" i="11"/>
  <c r="E49" i="6" s="1"/>
  <c r="H52" i="11"/>
  <c r="F52" i="11"/>
  <c r="G52" i="11"/>
  <c r="M60" i="5"/>
  <c r="G60" i="5"/>
  <c r="H60" i="5"/>
  <c r="K60" i="5"/>
  <c r="J57" i="6" s="1"/>
  <c r="F60" i="5"/>
  <c r="J60" i="5"/>
  <c r="H58" i="13"/>
  <c r="M58" i="13"/>
  <c r="K58" i="13"/>
  <c r="G55" i="6" s="1"/>
  <c r="F58" i="13"/>
  <c r="G58" i="13"/>
  <c r="B53" i="11"/>
  <c r="A54" i="11"/>
  <c r="M53" i="11" l="1"/>
  <c r="F53" i="11"/>
  <c r="K53" i="11"/>
  <c r="E50" i="6" s="1"/>
  <c r="G53" i="11"/>
  <c r="H53" i="11"/>
  <c r="M59" i="13"/>
  <c r="G59" i="13"/>
  <c r="F59" i="13"/>
  <c r="H59" i="13"/>
  <c r="K59" i="13"/>
  <c r="G56" i="6" s="1"/>
  <c r="B62" i="5"/>
  <c r="A63" i="5"/>
  <c r="B54" i="11"/>
  <c r="A55" i="11"/>
  <c r="A61" i="13"/>
  <c r="B60" i="13"/>
  <c r="M61" i="5"/>
  <c r="F61" i="5"/>
  <c r="K61" i="5"/>
  <c r="J58" i="6" s="1"/>
  <c r="G61" i="5"/>
  <c r="J61" i="5"/>
  <c r="H61" i="5"/>
  <c r="M60" i="13" l="1"/>
  <c r="F60" i="13"/>
  <c r="H60" i="13"/>
  <c r="G60" i="13"/>
  <c r="K60" i="13"/>
  <c r="G57" i="6" s="1"/>
  <c r="B55" i="11"/>
  <c r="A56" i="11"/>
  <c r="B63" i="5"/>
  <c r="A64" i="5"/>
  <c r="B61" i="13"/>
  <c r="A62" i="13"/>
  <c r="G54" i="11"/>
  <c r="M54" i="11"/>
  <c r="K54" i="11"/>
  <c r="E51" i="6" s="1"/>
  <c r="H54" i="11"/>
  <c r="F54" i="11"/>
  <c r="M62" i="5"/>
  <c r="G62" i="5"/>
  <c r="F62" i="5"/>
  <c r="K62" i="5"/>
  <c r="J59" i="6" s="1"/>
  <c r="H62" i="5"/>
  <c r="J62" i="5"/>
  <c r="B62" i="13" l="1"/>
  <c r="A63" i="13"/>
  <c r="B64" i="5"/>
  <c r="A65" i="5"/>
  <c r="B56" i="11"/>
  <c r="A57" i="11"/>
  <c r="K61" i="13"/>
  <c r="G58" i="6" s="1"/>
  <c r="H61" i="13"/>
  <c r="G61" i="13"/>
  <c r="F61" i="13"/>
  <c r="M61" i="13"/>
  <c r="M63" i="5"/>
  <c r="F63" i="5"/>
  <c r="J63" i="5"/>
  <c r="H63" i="5"/>
  <c r="G63" i="5"/>
  <c r="K63" i="5"/>
  <c r="J60" i="6" s="1"/>
  <c r="F55" i="11"/>
  <c r="M55" i="11"/>
  <c r="K55" i="11"/>
  <c r="E52" i="6" s="1"/>
  <c r="G55" i="11"/>
  <c r="H55" i="11"/>
  <c r="B57" i="11" l="1"/>
  <c r="A58" i="11"/>
  <c r="B65" i="5"/>
  <c r="A66" i="5"/>
  <c r="A64" i="13"/>
  <c r="B63" i="13"/>
  <c r="M56" i="11"/>
  <c r="K56" i="11"/>
  <c r="E53" i="6" s="1"/>
  <c r="H56" i="11"/>
  <c r="F56" i="11"/>
  <c r="G56" i="11"/>
  <c r="M64" i="5"/>
  <c r="G64" i="5"/>
  <c r="H64" i="5"/>
  <c r="K64" i="5"/>
  <c r="J61" i="6" s="1"/>
  <c r="F64" i="5"/>
  <c r="J64" i="5"/>
  <c r="H62" i="13"/>
  <c r="K62" i="13"/>
  <c r="G59" i="6" s="1"/>
  <c r="M62" i="13"/>
  <c r="G62" i="13"/>
  <c r="F62" i="13"/>
  <c r="A65" i="13" l="1"/>
  <c r="B64" i="13"/>
  <c r="M65" i="5"/>
  <c r="F65" i="5"/>
  <c r="K65" i="5"/>
  <c r="J62" i="6" s="1"/>
  <c r="G65" i="5"/>
  <c r="J65" i="5"/>
  <c r="H65" i="5"/>
  <c r="H57" i="11"/>
  <c r="M57" i="11"/>
  <c r="F57" i="11"/>
  <c r="G57" i="11"/>
  <c r="K57" i="11"/>
  <c r="E54" i="6" s="1"/>
  <c r="M63" i="13"/>
  <c r="G63" i="13"/>
  <c r="F63" i="13"/>
  <c r="H63" i="13"/>
  <c r="K63" i="13"/>
  <c r="G60" i="6" s="1"/>
  <c r="B66" i="5"/>
  <c r="A67" i="5"/>
  <c r="B58" i="11"/>
  <c r="A59" i="11"/>
  <c r="G58" i="11" l="1"/>
  <c r="K58" i="11"/>
  <c r="E55" i="6" s="1"/>
  <c r="H58" i="11"/>
  <c r="M58" i="11"/>
  <c r="F58" i="11"/>
  <c r="M66" i="5"/>
  <c r="G66" i="5"/>
  <c r="F66" i="5"/>
  <c r="K66" i="5"/>
  <c r="J63" i="6" s="1"/>
  <c r="H66" i="5"/>
  <c r="J66" i="5"/>
  <c r="M64" i="13"/>
  <c r="F64" i="13"/>
  <c r="H64" i="13"/>
  <c r="G64" i="13"/>
  <c r="K64" i="13"/>
  <c r="G61" i="6" s="1"/>
  <c r="A60" i="11"/>
  <c r="B59" i="11"/>
  <c r="B67" i="5"/>
  <c r="A68" i="5"/>
  <c r="B65" i="13"/>
  <c r="A66" i="13"/>
  <c r="M67" i="5" l="1"/>
  <c r="F67" i="5"/>
  <c r="J67" i="5"/>
  <c r="K67" i="5"/>
  <c r="J64" i="6" s="1"/>
  <c r="G67" i="5"/>
  <c r="H67" i="5"/>
  <c r="A61" i="11"/>
  <c r="B60" i="11"/>
  <c r="B66" i="13"/>
  <c r="A67" i="13"/>
  <c r="B68" i="5"/>
  <c r="A69" i="5"/>
  <c r="M59" i="11"/>
  <c r="H59" i="11"/>
  <c r="K59" i="11"/>
  <c r="E56" i="6" s="1"/>
  <c r="G59" i="11"/>
  <c r="F59" i="11"/>
  <c r="K65" i="13"/>
  <c r="G62" i="6" s="1"/>
  <c r="H65" i="13"/>
  <c r="G65" i="13"/>
  <c r="F65" i="13"/>
  <c r="M65" i="13"/>
  <c r="M68" i="5" l="1"/>
  <c r="G68" i="5"/>
  <c r="H68" i="5"/>
  <c r="J68" i="5"/>
  <c r="F68" i="5"/>
  <c r="K68" i="5"/>
  <c r="J65" i="6" s="1"/>
  <c r="H66" i="13"/>
  <c r="M66" i="13"/>
  <c r="K66" i="13"/>
  <c r="G63" i="6" s="1"/>
  <c r="F66" i="13"/>
  <c r="G66" i="13"/>
  <c r="A62" i="11"/>
  <c r="B61" i="11"/>
  <c r="B69" i="5"/>
  <c r="A70" i="5"/>
  <c r="A68" i="13"/>
  <c r="B67" i="13"/>
  <c r="M60" i="11"/>
  <c r="G60" i="11"/>
  <c r="F60" i="11"/>
  <c r="K60" i="11"/>
  <c r="E57" i="6" s="1"/>
  <c r="H60" i="11"/>
  <c r="M67" i="13" l="1"/>
  <c r="K67" i="13"/>
  <c r="G64" i="6" s="1"/>
  <c r="H67" i="13"/>
  <c r="F67" i="13"/>
  <c r="G67" i="13"/>
  <c r="B70" i="5"/>
  <c r="A71" i="5"/>
  <c r="M61" i="11"/>
  <c r="F61" i="11"/>
  <c r="K61" i="11"/>
  <c r="E58" i="6" s="1"/>
  <c r="G61" i="11"/>
  <c r="H61" i="11"/>
  <c r="B68" i="13"/>
  <c r="A69" i="13"/>
  <c r="M69" i="5"/>
  <c r="F69" i="5"/>
  <c r="G69" i="5"/>
  <c r="J69" i="5"/>
  <c r="H69" i="5"/>
  <c r="K69" i="5"/>
  <c r="J66" i="6" s="1"/>
  <c r="B62" i="11"/>
  <c r="A63" i="11"/>
  <c r="B63" i="11" l="1"/>
  <c r="A64" i="11"/>
  <c r="M62" i="11"/>
  <c r="G62" i="11"/>
  <c r="F62" i="11"/>
  <c r="K62" i="11"/>
  <c r="E59" i="6" s="1"/>
  <c r="H62" i="11"/>
  <c r="A70" i="13"/>
  <c r="B69" i="13"/>
  <c r="J70" i="5"/>
  <c r="K70" i="5"/>
  <c r="J67" i="6" s="1"/>
  <c r="H70" i="5"/>
  <c r="G70" i="5"/>
  <c r="M70" i="5"/>
  <c r="F70" i="5"/>
  <c r="H68" i="13"/>
  <c r="K68" i="13"/>
  <c r="G65" i="6" s="1"/>
  <c r="G68" i="13"/>
  <c r="F68" i="13"/>
  <c r="M68" i="13"/>
  <c r="A72" i="5"/>
  <c r="B71" i="5"/>
  <c r="J71" i="5" l="1"/>
  <c r="H71" i="5"/>
  <c r="K71" i="5"/>
  <c r="J68" i="6" s="1"/>
  <c r="G71" i="5"/>
  <c r="M71" i="5"/>
  <c r="F71" i="5"/>
  <c r="A73" i="5"/>
  <c r="B72" i="5"/>
  <c r="A71" i="13"/>
  <c r="B70" i="13"/>
  <c r="A65" i="11"/>
  <c r="B64" i="11"/>
  <c r="M69" i="13"/>
  <c r="G69" i="13"/>
  <c r="F69" i="13"/>
  <c r="K69" i="13"/>
  <c r="G66" i="6" s="1"/>
  <c r="H69" i="13"/>
  <c r="H63" i="11"/>
  <c r="K63" i="11"/>
  <c r="E60" i="6" s="1"/>
  <c r="G63" i="11"/>
  <c r="M63" i="11"/>
  <c r="F63" i="11"/>
  <c r="A66" i="11" l="1"/>
  <c r="B65" i="11"/>
  <c r="B71" i="13"/>
  <c r="A72" i="13"/>
  <c r="A74" i="5"/>
  <c r="B73" i="5"/>
  <c r="M64" i="11"/>
  <c r="G64" i="11"/>
  <c r="F64" i="11"/>
  <c r="K64" i="11"/>
  <c r="E61" i="6" s="1"/>
  <c r="H64" i="11"/>
  <c r="M70" i="13"/>
  <c r="F70" i="13"/>
  <c r="G70" i="13"/>
  <c r="H70" i="13"/>
  <c r="K70" i="13"/>
  <c r="G67" i="6" s="1"/>
  <c r="J72" i="5"/>
  <c r="K72" i="5"/>
  <c r="J69" i="6" s="1"/>
  <c r="F72" i="5"/>
  <c r="G72" i="5"/>
  <c r="M72" i="5"/>
  <c r="H72" i="5"/>
  <c r="J73" i="5" l="1"/>
  <c r="H73" i="5"/>
  <c r="M73" i="5"/>
  <c r="F73" i="5"/>
  <c r="G73" i="5"/>
  <c r="K73" i="5"/>
  <c r="J70" i="6" s="1"/>
  <c r="B72" i="13"/>
  <c r="A73" i="13"/>
  <c r="M65" i="11"/>
  <c r="H65" i="11"/>
  <c r="F65" i="11"/>
  <c r="G65" i="11"/>
  <c r="K65" i="11"/>
  <c r="E62" i="6" s="1"/>
  <c r="A75" i="5"/>
  <c r="B74" i="5"/>
  <c r="K71" i="13"/>
  <c r="G68" i="6" s="1"/>
  <c r="H71" i="13"/>
  <c r="M71" i="13"/>
  <c r="G71" i="13"/>
  <c r="F71" i="13"/>
  <c r="A67" i="11"/>
  <c r="B66" i="11"/>
  <c r="M66" i="11" l="1"/>
  <c r="G66" i="11"/>
  <c r="K66" i="11"/>
  <c r="E63" i="6" s="1"/>
  <c r="H66" i="11"/>
  <c r="F66" i="11"/>
  <c r="A68" i="11"/>
  <c r="B67" i="11"/>
  <c r="J74" i="5"/>
  <c r="K74" i="5"/>
  <c r="J71" i="6" s="1"/>
  <c r="H74" i="5"/>
  <c r="F74" i="5"/>
  <c r="M74" i="5"/>
  <c r="G74" i="5"/>
  <c r="H72" i="13"/>
  <c r="K72" i="13"/>
  <c r="G69" i="6" s="1"/>
  <c r="G72" i="13"/>
  <c r="F72" i="13"/>
  <c r="M72" i="13"/>
  <c r="A76" i="5"/>
  <c r="B75" i="5"/>
  <c r="A74" i="13"/>
  <c r="B73" i="13"/>
  <c r="M73" i="13" l="1"/>
  <c r="G73" i="13"/>
  <c r="F73" i="13"/>
  <c r="K73" i="13"/>
  <c r="G70" i="6" s="1"/>
  <c r="H73" i="13"/>
  <c r="A75" i="13"/>
  <c r="B74" i="13"/>
  <c r="A77" i="5"/>
  <c r="B76" i="5"/>
  <c r="A69" i="11"/>
  <c r="B68" i="11"/>
  <c r="J75" i="5"/>
  <c r="H75" i="5"/>
  <c r="K75" i="5"/>
  <c r="J72" i="6" s="1"/>
  <c r="G75" i="5"/>
  <c r="M75" i="5"/>
  <c r="F75" i="5"/>
  <c r="M67" i="11"/>
  <c r="H67" i="11"/>
  <c r="K67" i="11"/>
  <c r="E64" i="6" s="1"/>
  <c r="G67" i="11"/>
  <c r="F67" i="11"/>
  <c r="A70" i="11" l="1"/>
  <c r="B69" i="11"/>
  <c r="A78" i="5"/>
  <c r="B77" i="5"/>
  <c r="B75" i="13"/>
  <c r="A76" i="13"/>
  <c r="M68" i="11"/>
  <c r="G68" i="11"/>
  <c r="F68" i="11"/>
  <c r="H68" i="11"/>
  <c r="K68" i="11"/>
  <c r="E65" i="6" s="1"/>
  <c r="J76" i="5"/>
  <c r="K76" i="5"/>
  <c r="J73" i="6" s="1"/>
  <c r="F76" i="5"/>
  <c r="H76" i="5"/>
  <c r="G76" i="5"/>
  <c r="M76" i="5"/>
  <c r="M74" i="13"/>
  <c r="F74" i="13"/>
  <c r="K74" i="13"/>
  <c r="G71" i="6" s="1"/>
  <c r="G74" i="13"/>
  <c r="H74" i="13"/>
  <c r="B76" i="13" l="1"/>
  <c r="A77" i="13"/>
  <c r="J77" i="5"/>
  <c r="H77" i="5"/>
  <c r="K77" i="5"/>
  <c r="J74" i="6" s="1"/>
  <c r="F77" i="5"/>
  <c r="M77" i="5"/>
  <c r="G77" i="5"/>
  <c r="M69" i="11"/>
  <c r="H69" i="11"/>
  <c r="K69" i="11"/>
  <c r="E66" i="6" s="1"/>
  <c r="G69" i="11"/>
  <c r="F69" i="11"/>
  <c r="K75" i="13"/>
  <c r="G72" i="6" s="1"/>
  <c r="H75" i="13"/>
  <c r="F75" i="13"/>
  <c r="M75" i="13"/>
  <c r="G75" i="13"/>
  <c r="A79" i="5"/>
  <c r="B78" i="5"/>
  <c r="A71" i="11"/>
  <c r="B70" i="11"/>
  <c r="J78" i="5" l="1"/>
  <c r="K78" i="5"/>
  <c r="J75" i="6" s="1"/>
  <c r="H78" i="5"/>
  <c r="M78" i="5"/>
  <c r="G78" i="5"/>
  <c r="F78" i="5"/>
  <c r="A72" i="11"/>
  <c r="B71" i="11"/>
  <c r="A80" i="5"/>
  <c r="B79" i="5"/>
  <c r="A78" i="13"/>
  <c r="B77" i="13"/>
  <c r="M70" i="11"/>
  <c r="G70" i="11"/>
  <c r="F70" i="11"/>
  <c r="K70" i="11"/>
  <c r="E67" i="6" s="1"/>
  <c r="H70" i="11"/>
  <c r="H76" i="13"/>
  <c r="K76" i="13"/>
  <c r="G73" i="6" s="1"/>
  <c r="G76" i="13"/>
  <c r="M76" i="13"/>
  <c r="F76" i="13"/>
  <c r="A79" i="13" l="1"/>
  <c r="B78" i="13"/>
  <c r="A81" i="5"/>
  <c r="B80" i="5"/>
  <c r="B72" i="11"/>
  <c r="A73" i="11"/>
  <c r="M77" i="13"/>
  <c r="G77" i="13"/>
  <c r="F77" i="13"/>
  <c r="H77" i="13"/>
  <c r="K77" i="13"/>
  <c r="G74" i="6" s="1"/>
  <c r="J79" i="5"/>
  <c r="H79" i="5"/>
  <c r="K79" i="5"/>
  <c r="J76" i="6" s="1"/>
  <c r="G79" i="5"/>
  <c r="F79" i="5"/>
  <c r="M79" i="5"/>
  <c r="M71" i="11"/>
  <c r="F71" i="11"/>
  <c r="K71" i="11"/>
  <c r="E68" i="6" s="1"/>
  <c r="H71" i="11"/>
  <c r="G71" i="11"/>
  <c r="B73" i="11" l="1"/>
  <c r="A74" i="11"/>
  <c r="J80" i="5"/>
  <c r="K80" i="5"/>
  <c r="J77" i="6" s="1"/>
  <c r="F80" i="5"/>
  <c r="M80" i="5"/>
  <c r="G80" i="5"/>
  <c r="H80" i="5"/>
  <c r="M78" i="13"/>
  <c r="F78" i="13"/>
  <c r="G78" i="13"/>
  <c r="H78" i="13"/>
  <c r="K78" i="13"/>
  <c r="G75" i="6" s="1"/>
  <c r="M72" i="11"/>
  <c r="G72" i="11"/>
  <c r="F72" i="11"/>
  <c r="H72" i="11"/>
  <c r="K72" i="11"/>
  <c r="E69" i="6" s="1"/>
  <c r="A82" i="5"/>
  <c r="B81" i="5"/>
  <c r="B79" i="13"/>
  <c r="A80" i="13"/>
  <c r="B80" i="13" l="1"/>
  <c r="A81" i="13"/>
  <c r="K79" i="13"/>
  <c r="G76" i="6" s="1"/>
  <c r="H79" i="13"/>
  <c r="F79" i="13"/>
  <c r="M79" i="13"/>
  <c r="G79" i="13"/>
  <c r="A83" i="5"/>
  <c r="B82" i="5"/>
  <c r="B74" i="11"/>
  <c r="A75" i="11"/>
  <c r="J81" i="5"/>
  <c r="H81" i="5"/>
  <c r="F81" i="5"/>
  <c r="G81" i="5"/>
  <c r="M81" i="5"/>
  <c r="K81" i="5"/>
  <c r="J78" i="6" s="1"/>
  <c r="F73" i="11"/>
  <c r="K73" i="11"/>
  <c r="E70" i="6" s="1"/>
  <c r="G73" i="11"/>
  <c r="M73" i="11"/>
  <c r="H73" i="11"/>
  <c r="M74" i="11" l="1"/>
  <c r="K74" i="11"/>
  <c r="E71" i="6" s="1"/>
  <c r="H74" i="11"/>
  <c r="F74" i="11"/>
  <c r="G74" i="11"/>
  <c r="A84" i="5"/>
  <c r="B83" i="5"/>
  <c r="A82" i="13"/>
  <c r="B81" i="13"/>
  <c r="B75" i="11"/>
  <c r="A76" i="11"/>
  <c r="J82" i="5"/>
  <c r="K82" i="5"/>
  <c r="J79" i="6" s="1"/>
  <c r="H82" i="5"/>
  <c r="M82" i="5"/>
  <c r="F82" i="5"/>
  <c r="G82" i="5"/>
  <c r="K80" i="13"/>
  <c r="G77" i="6" s="1"/>
  <c r="H80" i="13"/>
  <c r="G80" i="13"/>
  <c r="M80" i="13"/>
  <c r="F80" i="13"/>
  <c r="F75" i="11" l="1"/>
  <c r="M75" i="11"/>
  <c r="H75" i="11"/>
  <c r="G75" i="11"/>
  <c r="K75" i="11"/>
  <c r="E72" i="6" s="1"/>
  <c r="B82" i="13"/>
  <c r="A83" i="13"/>
  <c r="A85" i="5"/>
  <c r="B84" i="5"/>
  <c r="B76" i="11"/>
  <c r="A77" i="11"/>
  <c r="M81" i="13"/>
  <c r="K81" i="13"/>
  <c r="G78" i="6" s="1"/>
  <c r="H81" i="13"/>
  <c r="F81" i="13"/>
  <c r="G81" i="13"/>
  <c r="J83" i="5"/>
  <c r="H83" i="5"/>
  <c r="K83" i="5"/>
  <c r="J80" i="6" s="1"/>
  <c r="G83" i="5"/>
  <c r="F83" i="5"/>
  <c r="M83" i="5"/>
  <c r="K76" i="11" l="1"/>
  <c r="E73" i="6" s="1"/>
  <c r="H76" i="11"/>
  <c r="M76" i="11"/>
  <c r="G76" i="11"/>
  <c r="F76" i="11"/>
  <c r="A86" i="5"/>
  <c r="B85" i="5"/>
  <c r="H82" i="13"/>
  <c r="M82" i="13"/>
  <c r="K82" i="13"/>
  <c r="G79" i="6" s="1"/>
  <c r="F82" i="13"/>
  <c r="G82" i="13"/>
  <c r="B77" i="11"/>
  <c r="A78" i="11"/>
  <c r="J84" i="5"/>
  <c r="K84" i="5"/>
  <c r="J81" i="6" s="1"/>
  <c r="F84" i="5"/>
  <c r="M84" i="5"/>
  <c r="H84" i="5"/>
  <c r="G84" i="5"/>
  <c r="A84" i="13"/>
  <c r="B83" i="13"/>
  <c r="M83" i="13" l="1"/>
  <c r="K83" i="13"/>
  <c r="G80" i="6" s="1"/>
  <c r="H83" i="13"/>
  <c r="F83" i="13"/>
  <c r="G83" i="13"/>
  <c r="B84" i="13"/>
  <c r="A85" i="13"/>
  <c r="B78" i="11"/>
  <c r="A79" i="11"/>
  <c r="A87" i="5"/>
  <c r="B86" i="5"/>
  <c r="H77" i="11"/>
  <c r="K77" i="11"/>
  <c r="E74" i="6" s="1"/>
  <c r="M77" i="11"/>
  <c r="F77" i="11"/>
  <c r="G77" i="11"/>
  <c r="J85" i="5"/>
  <c r="H85" i="5"/>
  <c r="K85" i="5"/>
  <c r="J82" i="6" s="1"/>
  <c r="F85" i="5"/>
  <c r="M85" i="5"/>
  <c r="G85" i="5"/>
  <c r="A88" i="5" l="1"/>
  <c r="B87" i="5"/>
  <c r="K78" i="11"/>
  <c r="E75" i="6" s="1"/>
  <c r="H78" i="11"/>
  <c r="G78" i="11"/>
  <c r="M78" i="11"/>
  <c r="F78" i="11"/>
  <c r="H84" i="13"/>
  <c r="K84" i="13"/>
  <c r="G81" i="6" s="1"/>
  <c r="G84" i="13"/>
  <c r="M84" i="13"/>
  <c r="F84" i="13"/>
  <c r="J86" i="5"/>
  <c r="K86" i="5"/>
  <c r="J83" i="6" s="1"/>
  <c r="H86" i="5"/>
  <c r="M86" i="5"/>
  <c r="F86" i="5"/>
  <c r="G86" i="5"/>
  <c r="B79" i="11"/>
  <c r="A80" i="11"/>
  <c r="A86" i="13"/>
  <c r="B85" i="13"/>
  <c r="B86" i="13" l="1"/>
  <c r="A87" i="13"/>
  <c r="M79" i="11"/>
  <c r="H79" i="11"/>
  <c r="K79" i="11"/>
  <c r="E76" i="6" s="1"/>
  <c r="G79" i="11"/>
  <c r="F79" i="11"/>
  <c r="J87" i="5"/>
  <c r="H87" i="5"/>
  <c r="K87" i="5"/>
  <c r="J84" i="6" s="1"/>
  <c r="G87" i="5"/>
  <c r="F87" i="5"/>
  <c r="M87" i="5"/>
  <c r="M85" i="13"/>
  <c r="K85" i="13"/>
  <c r="G82" i="6" s="1"/>
  <c r="H85" i="13"/>
  <c r="F85" i="13"/>
  <c r="G85" i="13"/>
  <c r="B80" i="11"/>
  <c r="A81" i="11"/>
  <c r="A89" i="5"/>
  <c r="B88" i="5"/>
  <c r="A82" i="11" l="1"/>
  <c r="B81" i="11"/>
  <c r="A90" i="5"/>
  <c r="B89" i="5"/>
  <c r="G80" i="11"/>
  <c r="F80" i="11"/>
  <c r="K80" i="11"/>
  <c r="E77" i="6" s="1"/>
  <c r="M80" i="11"/>
  <c r="H80" i="11"/>
  <c r="B87" i="13"/>
  <c r="A88" i="13"/>
  <c r="J88" i="5"/>
  <c r="K88" i="5"/>
  <c r="J85" i="6" s="1"/>
  <c r="F88" i="5"/>
  <c r="M88" i="5"/>
  <c r="G88" i="5"/>
  <c r="H88" i="5"/>
  <c r="F86" i="13"/>
  <c r="G86" i="13"/>
  <c r="M86" i="13"/>
  <c r="H86" i="13"/>
  <c r="K86" i="13"/>
  <c r="G83" i="6" s="1"/>
  <c r="K87" i="13" l="1"/>
  <c r="G84" i="6" s="1"/>
  <c r="H87" i="13"/>
  <c r="F87" i="13"/>
  <c r="M87" i="13"/>
  <c r="G87" i="13"/>
  <c r="J89" i="5"/>
  <c r="H89" i="5"/>
  <c r="F89" i="5"/>
  <c r="G89" i="5"/>
  <c r="M89" i="5"/>
  <c r="K89" i="5"/>
  <c r="J86" i="6" s="1"/>
  <c r="M81" i="11"/>
  <c r="F81" i="11"/>
  <c r="K81" i="11"/>
  <c r="E78" i="6" s="1"/>
  <c r="G81" i="11"/>
  <c r="H81" i="11"/>
  <c r="B88" i="13"/>
  <c r="A89" i="13"/>
  <c r="A91" i="5"/>
  <c r="B90" i="5"/>
  <c r="B82" i="11"/>
  <c r="A83" i="11"/>
  <c r="B83" i="11" l="1"/>
  <c r="A84" i="11"/>
  <c r="M82" i="11"/>
  <c r="K82" i="11"/>
  <c r="E79" i="6" s="1"/>
  <c r="H82" i="11"/>
  <c r="F82" i="11"/>
  <c r="G82" i="11"/>
  <c r="A92" i="5"/>
  <c r="B91" i="5"/>
  <c r="H88" i="13"/>
  <c r="K88" i="13"/>
  <c r="G85" i="6" s="1"/>
  <c r="G88" i="13"/>
  <c r="M88" i="13"/>
  <c r="F88" i="13"/>
  <c r="J90" i="5"/>
  <c r="H90" i="5"/>
  <c r="M90" i="5"/>
  <c r="F90" i="5"/>
  <c r="G90" i="5"/>
  <c r="K90" i="5"/>
  <c r="J87" i="6" s="1"/>
  <c r="A90" i="13"/>
  <c r="B89" i="13"/>
  <c r="M89" i="13" l="1"/>
  <c r="K89" i="13"/>
  <c r="G86" i="6" s="1"/>
  <c r="H89" i="13"/>
  <c r="F89" i="13"/>
  <c r="G89" i="13"/>
  <c r="B90" i="13"/>
  <c r="A91" i="13"/>
  <c r="A93" i="5"/>
  <c r="B92" i="5"/>
  <c r="B84" i="11"/>
  <c r="A85" i="11"/>
  <c r="J91" i="5"/>
  <c r="K91" i="5"/>
  <c r="J88" i="6" s="1"/>
  <c r="H91" i="5"/>
  <c r="F91" i="5"/>
  <c r="M91" i="5"/>
  <c r="G91" i="5"/>
  <c r="F83" i="11"/>
  <c r="M83" i="11"/>
  <c r="H83" i="11"/>
  <c r="G83" i="11"/>
  <c r="K83" i="11"/>
  <c r="E80" i="6" s="1"/>
  <c r="K84" i="11" l="1"/>
  <c r="E81" i="6" s="1"/>
  <c r="H84" i="11"/>
  <c r="G84" i="11"/>
  <c r="M84" i="11"/>
  <c r="F84" i="11"/>
  <c r="A94" i="5"/>
  <c r="B93" i="5"/>
  <c r="F90" i="13"/>
  <c r="M90" i="13"/>
  <c r="K90" i="13"/>
  <c r="G87" i="6" s="1"/>
  <c r="H90" i="13"/>
  <c r="G90" i="13"/>
  <c r="B85" i="11"/>
  <c r="A86" i="11"/>
  <c r="J92" i="5"/>
  <c r="H92" i="5"/>
  <c r="K92" i="5"/>
  <c r="J89" i="6" s="1"/>
  <c r="G92" i="5"/>
  <c r="M92" i="5"/>
  <c r="F92" i="5"/>
  <c r="B91" i="13"/>
  <c r="A92" i="13"/>
  <c r="B92" i="13" l="1"/>
  <c r="A93" i="13"/>
  <c r="K91" i="13"/>
  <c r="G88" i="6" s="1"/>
  <c r="H91" i="13"/>
  <c r="F91" i="13"/>
  <c r="M91" i="13"/>
  <c r="G91" i="13"/>
  <c r="B86" i="11"/>
  <c r="A87" i="11"/>
  <c r="A95" i="5"/>
  <c r="B94" i="5"/>
  <c r="H85" i="11"/>
  <c r="K85" i="11"/>
  <c r="E82" i="6" s="1"/>
  <c r="M85" i="11"/>
  <c r="F85" i="11"/>
  <c r="G85" i="11"/>
  <c r="J93" i="5"/>
  <c r="K93" i="5"/>
  <c r="J90" i="6" s="1"/>
  <c r="F93" i="5"/>
  <c r="H93" i="5"/>
  <c r="M93" i="5"/>
  <c r="G93" i="5"/>
  <c r="A96" i="5" l="1"/>
  <c r="B95" i="5"/>
  <c r="K86" i="11"/>
  <c r="E83" i="6" s="1"/>
  <c r="H86" i="11"/>
  <c r="G86" i="11"/>
  <c r="M86" i="11"/>
  <c r="F86" i="11"/>
  <c r="A94" i="13"/>
  <c r="B93" i="13"/>
  <c r="J94" i="5"/>
  <c r="H94" i="5"/>
  <c r="K94" i="5"/>
  <c r="J91" i="6" s="1"/>
  <c r="M94" i="5"/>
  <c r="G94" i="5"/>
  <c r="F94" i="5"/>
  <c r="B87" i="11"/>
  <c r="A88" i="11"/>
  <c r="H92" i="13"/>
  <c r="M92" i="13"/>
  <c r="K92" i="13"/>
  <c r="G89" i="6" s="1"/>
  <c r="F92" i="13"/>
  <c r="G92" i="13"/>
  <c r="B88" i="11" l="1"/>
  <c r="A89" i="11"/>
  <c r="B94" i="13"/>
  <c r="A95" i="13"/>
  <c r="J95" i="5"/>
  <c r="K95" i="5"/>
  <c r="J92" i="6" s="1"/>
  <c r="H95" i="5"/>
  <c r="F95" i="5"/>
  <c r="M95" i="5"/>
  <c r="G95" i="5"/>
  <c r="M87" i="11"/>
  <c r="F87" i="11"/>
  <c r="H87" i="11"/>
  <c r="G87" i="11"/>
  <c r="K87" i="11"/>
  <c r="E84" i="6" s="1"/>
  <c r="M93" i="13"/>
  <c r="K93" i="13"/>
  <c r="G90" i="6" s="1"/>
  <c r="H93" i="13"/>
  <c r="F93" i="13"/>
  <c r="G93" i="13"/>
  <c r="A97" i="5"/>
  <c r="B96" i="5"/>
  <c r="A98" i="5" l="1"/>
  <c r="B97" i="5"/>
  <c r="B95" i="13"/>
  <c r="A96" i="13"/>
  <c r="B89" i="11"/>
  <c r="A90" i="11"/>
  <c r="J96" i="5"/>
  <c r="H96" i="5"/>
  <c r="K96" i="5"/>
  <c r="J93" i="6" s="1"/>
  <c r="G96" i="5"/>
  <c r="M96" i="5"/>
  <c r="F96" i="5"/>
  <c r="F94" i="13"/>
  <c r="M94" i="13"/>
  <c r="K94" i="13"/>
  <c r="G91" i="6" s="1"/>
  <c r="H94" i="13"/>
  <c r="G94" i="13"/>
  <c r="K88" i="11"/>
  <c r="E85" i="6" s="1"/>
  <c r="H88" i="11"/>
  <c r="G88" i="11"/>
  <c r="M88" i="11"/>
  <c r="F88" i="11"/>
  <c r="B90" i="11" l="1"/>
  <c r="A91" i="11"/>
  <c r="A97" i="13"/>
  <c r="B96" i="13"/>
  <c r="J97" i="5"/>
  <c r="K97" i="5"/>
  <c r="J94" i="6" s="1"/>
  <c r="F97" i="5"/>
  <c r="H97" i="5"/>
  <c r="M97" i="5"/>
  <c r="G97" i="5"/>
  <c r="H89" i="11"/>
  <c r="M89" i="11"/>
  <c r="F89" i="11"/>
  <c r="G89" i="11"/>
  <c r="K89" i="11"/>
  <c r="E86" i="6" s="1"/>
  <c r="G95" i="13"/>
  <c r="F95" i="13"/>
  <c r="H95" i="13"/>
  <c r="M95" i="13"/>
  <c r="K95" i="13"/>
  <c r="G92" i="6" s="1"/>
  <c r="A99" i="5"/>
  <c r="B98" i="5"/>
  <c r="A100" i="5" l="1"/>
  <c r="B99" i="5"/>
  <c r="M96" i="13"/>
  <c r="F96" i="13"/>
  <c r="G96" i="13"/>
  <c r="H96" i="13"/>
  <c r="K96" i="13"/>
  <c r="G93" i="6" s="1"/>
  <c r="B91" i="11"/>
  <c r="A92" i="11"/>
  <c r="J98" i="5"/>
  <c r="H98" i="5"/>
  <c r="M98" i="5"/>
  <c r="K98" i="5"/>
  <c r="J95" i="6" s="1"/>
  <c r="F98" i="5"/>
  <c r="G98" i="5"/>
  <c r="B97" i="13"/>
  <c r="A98" i="13"/>
  <c r="F90" i="11"/>
  <c r="K90" i="11"/>
  <c r="E87" i="6" s="1"/>
  <c r="G90" i="11"/>
  <c r="M90" i="11"/>
  <c r="H90" i="11"/>
  <c r="A99" i="13" l="1"/>
  <c r="B98" i="13"/>
  <c r="M91" i="11"/>
  <c r="G91" i="11"/>
  <c r="F91" i="11"/>
  <c r="K91" i="11"/>
  <c r="E88" i="6" s="1"/>
  <c r="H91" i="11"/>
  <c r="J99" i="5"/>
  <c r="K99" i="5"/>
  <c r="J96" i="6" s="1"/>
  <c r="H99" i="5"/>
  <c r="G99" i="5"/>
  <c r="M99" i="5"/>
  <c r="F99" i="5"/>
  <c r="G97" i="13"/>
  <c r="F97" i="13"/>
  <c r="M97" i="13"/>
  <c r="K97" i="13"/>
  <c r="G94" i="6" s="1"/>
  <c r="H97" i="13"/>
  <c r="B92" i="11"/>
  <c r="A93" i="11"/>
  <c r="A101" i="5"/>
  <c r="B100" i="5"/>
  <c r="J100" i="5" l="1"/>
  <c r="H100" i="5"/>
  <c r="K100" i="5"/>
  <c r="J97" i="6" s="1"/>
  <c r="G100" i="5"/>
  <c r="M100" i="5"/>
  <c r="F100" i="5"/>
  <c r="A102" i="5"/>
  <c r="B101" i="5"/>
  <c r="F92" i="11"/>
  <c r="K92" i="11"/>
  <c r="E89" i="6" s="1"/>
  <c r="M92" i="11"/>
  <c r="H92" i="11"/>
  <c r="G92" i="11"/>
  <c r="M98" i="13"/>
  <c r="F98" i="13"/>
  <c r="K98" i="13"/>
  <c r="G95" i="6" s="1"/>
  <c r="H98" i="13"/>
  <c r="G98" i="13"/>
  <c r="B93" i="11"/>
  <c r="A94" i="11"/>
  <c r="B99" i="13"/>
  <c r="A100" i="13"/>
  <c r="A101" i="13" l="1"/>
  <c r="B100" i="13"/>
  <c r="G99" i="13"/>
  <c r="F99" i="13"/>
  <c r="H99" i="13"/>
  <c r="M99" i="13"/>
  <c r="K99" i="13"/>
  <c r="G96" i="6" s="1"/>
  <c r="M93" i="11"/>
  <c r="K93" i="11"/>
  <c r="E90" i="6" s="1"/>
  <c r="H93" i="11"/>
  <c r="F93" i="11"/>
  <c r="G93" i="11"/>
  <c r="A103" i="5"/>
  <c r="B102" i="5"/>
  <c r="B94" i="11"/>
  <c r="A95" i="11"/>
  <c r="J101" i="5"/>
  <c r="K101" i="5"/>
  <c r="J98" i="6" s="1"/>
  <c r="F101" i="5"/>
  <c r="G101" i="5"/>
  <c r="M101" i="5"/>
  <c r="H101" i="5"/>
  <c r="B95" i="11" l="1"/>
  <c r="A96" i="11"/>
  <c r="J102" i="5"/>
  <c r="H102" i="5"/>
  <c r="K102" i="5"/>
  <c r="J99" i="6" s="1"/>
  <c r="M102" i="5"/>
  <c r="G102" i="5"/>
  <c r="F102" i="5"/>
  <c r="M100" i="13"/>
  <c r="F100" i="13"/>
  <c r="K100" i="13"/>
  <c r="G97" i="6" s="1"/>
  <c r="G100" i="13"/>
  <c r="H100" i="13"/>
  <c r="H94" i="11"/>
  <c r="K94" i="11"/>
  <c r="E91" i="6" s="1"/>
  <c r="G94" i="11"/>
  <c r="M94" i="11"/>
  <c r="F94" i="11"/>
  <c r="A104" i="5"/>
  <c r="B103" i="5"/>
  <c r="B101" i="13"/>
  <c r="A102" i="13"/>
  <c r="J103" i="5" l="1"/>
  <c r="K103" i="5"/>
  <c r="J100" i="6" s="1"/>
  <c r="H103" i="5"/>
  <c r="G103" i="5"/>
  <c r="M103" i="5"/>
  <c r="F103" i="5"/>
  <c r="G101" i="13"/>
  <c r="F101" i="13"/>
  <c r="M101" i="13"/>
  <c r="K101" i="13"/>
  <c r="G98" i="6" s="1"/>
  <c r="H101" i="13"/>
  <c r="A105" i="5"/>
  <c r="B104" i="5"/>
  <c r="B96" i="11"/>
  <c r="A97" i="11"/>
  <c r="B102" i="13"/>
  <c r="A103" i="13"/>
  <c r="K95" i="11"/>
  <c r="E92" i="6" s="1"/>
  <c r="H95" i="11"/>
  <c r="M95" i="11"/>
  <c r="F95" i="11"/>
  <c r="G95" i="11"/>
  <c r="A104" i="13" l="1"/>
  <c r="B103" i="13"/>
  <c r="B97" i="11"/>
  <c r="A98" i="11"/>
  <c r="J104" i="5"/>
  <c r="H104" i="5"/>
  <c r="K104" i="5"/>
  <c r="J101" i="6" s="1"/>
  <c r="G104" i="5"/>
  <c r="M104" i="5"/>
  <c r="F104" i="5"/>
  <c r="H102" i="13"/>
  <c r="K102" i="13"/>
  <c r="G99" i="6" s="1"/>
  <c r="G102" i="13"/>
  <c r="M102" i="13"/>
  <c r="F102" i="13"/>
  <c r="M96" i="11"/>
  <c r="F96" i="11"/>
  <c r="K96" i="11"/>
  <c r="E93" i="6" s="1"/>
  <c r="H96" i="11"/>
  <c r="G96" i="11"/>
  <c r="A106" i="5"/>
  <c r="B105" i="5"/>
  <c r="A107" i="5" l="1"/>
  <c r="B106" i="5"/>
  <c r="B98" i="11"/>
  <c r="A99" i="11"/>
  <c r="M103" i="13"/>
  <c r="K103" i="13"/>
  <c r="G100" i="6" s="1"/>
  <c r="H103" i="13"/>
  <c r="F103" i="13"/>
  <c r="G103" i="13"/>
  <c r="J105" i="5"/>
  <c r="K105" i="5"/>
  <c r="J102" i="6" s="1"/>
  <c r="F105" i="5"/>
  <c r="G105" i="5"/>
  <c r="M105" i="5"/>
  <c r="H105" i="5"/>
  <c r="G97" i="11"/>
  <c r="F97" i="11"/>
  <c r="M97" i="11"/>
  <c r="H97" i="11"/>
  <c r="K97" i="11"/>
  <c r="E94" i="6" s="1"/>
  <c r="B104" i="13"/>
  <c r="A105" i="13"/>
  <c r="H104" i="13" l="1"/>
  <c r="K104" i="13"/>
  <c r="G101" i="6" s="1"/>
  <c r="M104" i="13"/>
  <c r="G104" i="13"/>
  <c r="F104" i="13"/>
  <c r="A100" i="11"/>
  <c r="B99" i="11"/>
  <c r="J106" i="5"/>
  <c r="H106" i="5"/>
  <c r="M106" i="5"/>
  <c r="K106" i="5"/>
  <c r="J103" i="6" s="1"/>
  <c r="F106" i="5"/>
  <c r="G106" i="5"/>
  <c r="A106" i="13"/>
  <c r="B105" i="13"/>
  <c r="H98" i="11"/>
  <c r="K98" i="11"/>
  <c r="E95" i="6" s="1"/>
  <c r="M98" i="11"/>
  <c r="F98" i="11"/>
  <c r="G98" i="11"/>
  <c r="A108" i="5"/>
  <c r="B108" i="5" s="1"/>
  <c r="B107" i="5"/>
  <c r="M107" i="5" l="1"/>
  <c r="G107" i="5"/>
  <c r="F107" i="5"/>
  <c r="J107" i="5"/>
  <c r="K107" i="5"/>
  <c r="J104" i="6" s="1"/>
  <c r="H107" i="5"/>
  <c r="M108" i="5"/>
  <c r="F108" i="5"/>
  <c r="H108" i="5"/>
  <c r="G108" i="5"/>
  <c r="J108" i="5"/>
  <c r="K108" i="5"/>
  <c r="J105" i="6" s="1"/>
  <c r="M105" i="13"/>
  <c r="G105" i="13"/>
  <c r="F105" i="13"/>
  <c r="K105" i="13"/>
  <c r="G102" i="6" s="1"/>
  <c r="H105" i="13"/>
  <c r="B100" i="11"/>
  <c r="A101" i="11"/>
  <c r="A107" i="13"/>
  <c r="B106" i="13"/>
  <c r="M99" i="11"/>
  <c r="K99" i="11"/>
  <c r="E96" i="6" s="1"/>
  <c r="H99" i="11"/>
  <c r="F99" i="11"/>
  <c r="G99" i="11"/>
  <c r="A108" i="13" l="1"/>
  <c r="B108" i="13" s="1"/>
  <c r="B107" i="13"/>
  <c r="M100" i="11"/>
  <c r="F100" i="11"/>
  <c r="K100" i="11"/>
  <c r="E97" i="6" s="1"/>
  <c r="H100" i="11"/>
  <c r="G100" i="11"/>
  <c r="M106" i="13"/>
  <c r="F106" i="13"/>
  <c r="K106" i="13"/>
  <c r="G103" i="6" s="1"/>
  <c r="H106" i="13"/>
  <c r="G106" i="13"/>
  <c r="B101" i="11"/>
  <c r="A102" i="11"/>
  <c r="B102" i="11" l="1"/>
  <c r="A103" i="11"/>
  <c r="M107" i="13"/>
  <c r="G107" i="13"/>
  <c r="F107" i="13"/>
  <c r="H107" i="13"/>
  <c r="K107" i="13"/>
  <c r="G104" i="6" s="1"/>
  <c r="G101" i="11"/>
  <c r="F101" i="11"/>
  <c r="M101" i="11"/>
  <c r="H101" i="11"/>
  <c r="K101" i="11"/>
  <c r="E98" i="6" s="1"/>
  <c r="M108" i="13"/>
  <c r="F108" i="13"/>
  <c r="K108" i="13"/>
  <c r="G105" i="6" s="1"/>
  <c r="G108" i="13"/>
  <c r="H108" i="13"/>
  <c r="A104" i="11" l="1"/>
  <c r="B103" i="11"/>
  <c r="H102" i="11"/>
  <c r="K102" i="11"/>
  <c r="E99" i="6" s="1"/>
  <c r="G102" i="11"/>
  <c r="M102" i="11"/>
  <c r="F102" i="11"/>
  <c r="M103" i="11" l="1"/>
  <c r="K103" i="11"/>
  <c r="E100" i="6" s="1"/>
  <c r="H103" i="11"/>
  <c r="F103" i="11"/>
  <c r="G103" i="11"/>
  <c r="B104" i="11"/>
  <c r="A105" i="11"/>
  <c r="B105" i="11" l="1"/>
  <c r="A106" i="11"/>
  <c r="M104" i="11"/>
  <c r="F104" i="11"/>
  <c r="K104" i="11"/>
  <c r="E101" i="6" s="1"/>
  <c r="H104" i="11"/>
  <c r="G104" i="11"/>
  <c r="B106" i="11" l="1"/>
  <c r="A107" i="11"/>
  <c r="G105" i="11"/>
  <c r="F105" i="11"/>
  <c r="M105" i="11"/>
  <c r="H105" i="11"/>
  <c r="K105" i="11"/>
  <c r="E102" i="6" s="1"/>
  <c r="B107" i="11" l="1"/>
  <c r="A108" i="11"/>
  <c r="B108" i="11" s="1"/>
  <c r="F106" i="11"/>
  <c r="K106" i="11"/>
  <c r="E103" i="6" s="1"/>
  <c r="G106" i="11"/>
  <c r="H106" i="11"/>
  <c r="M106" i="11"/>
  <c r="F108" i="11" l="1"/>
  <c r="M108" i="11"/>
  <c r="H108" i="11"/>
  <c r="G108" i="11"/>
  <c r="K108" i="11"/>
  <c r="E105" i="6" s="1"/>
  <c r="M107" i="11"/>
  <c r="G107" i="11"/>
  <c r="K107" i="11"/>
  <c r="E104" i="6" s="1"/>
  <c r="H107" i="11"/>
  <c r="F107" i="11"/>
  <c r="I21" i="1" l="1"/>
  <c r="I22" i="1"/>
  <c r="I23" i="1"/>
  <c r="I24" i="1" s="1"/>
  <c r="I25" i="1" s="1"/>
  <c r="I26" i="1" s="1"/>
  <c r="I22" i="2"/>
  <c r="I21" i="2" s="1"/>
  <c r="I20" i="2" s="1"/>
  <c r="I20" i="1"/>
  <c r="I19" i="1"/>
  <c r="I18" i="1" s="1"/>
  <c r="J19" i="1"/>
  <c r="K19" i="1"/>
  <c r="C16" i="6" s="1"/>
  <c r="J20" i="1"/>
  <c r="K20" i="1" s="1"/>
  <c r="C17" i="6" s="1"/>
  <c r="J21" i="1"/>
  <c r="K21" i="1"/>
  <c r="C18" i="6" s="1"/>
  <c r="J22" i="1"/>
  <c r="K22" i="1" s="1"/>
  <c r="C19" i="6" s="1"/>
  <c r="J23" i="1"/>
  <c r="K23" i="1"/>
  <c r="C20" i="6" s="1"/>
  <c r="J24" i="1"/>
  <c r="K24" i="1" s="1"/>
  <c r="C21" i="6" s="1"/>
  <c r="J25" i="1"/>
  <c r="K25" i="1"/>
  <c r="C22" i="6" s="1"/>
  <c r="J26" i="1"/>
  <c r="K26" i="1" s="1"/>
  <c r="C23" i="6" s="1"/>
  <c r="J22" i="2" l="1"/>
  <c r="K22" i="2" s="1"/>
  <c r="D19" i="6" s="1"/>
  <c r="J21" i="2"/>
  <c r="K21" i="2" s="1"/>
  <c r="D18" i="6" s="1"/>
  <c r="I19" i="2"/>
  <c r="J20" i="2"/>
  <c r="K20" i="2" s="1"/>
  <c r="D17" i="6" s="1"/>
  <c r="I17" i="1"/>
  <c r="J18" i="1"/>
  <c r="K18" i="1" s="1"/>
  <c r="C15" i="6" s="1"/>
  <c r="I27" i="1"/>
  <c r="I23" i="2"/>
  <c r="I18" i="2" l="1"/>
  <c r="J19" i="2"/>
  <c r="K19" i="2" s="1"/>
  <c r="D16" i="6" s="1"/>
  <c r="I24" i="2"/>
  <c r="J23" i="2"/>
  <c r="K23" i="2" s="1"/>
  <c r="D20" i="6" s="1"/>
  <c r="I28" i="1"/>
  <c r="J27" i="1"/>
  <c r="K27" i="1" s="1"/>
  <c r="C24" i="6" s="1"/>
  <c r="I16" i="1"/>
  <c r="J17" i="1"/>
  <c r="K17" i="1" s="1"/>
  <c r="C14" i="6" s="1"/>
  <c r="I17" i="2" l="1"/>
  <c r="J18" i="2"/>
  <c r="K18" i="2" s="1"/>
  <c r="D15" i="6" s="1"/>
  <c r="I15" i="1"/>
  <c r="J16" i="1"/>
  <c r="K16" i="1" s="1"/>
  <c r="C13" i="6" s="1"/>
  <c r="I29" i="1"/>
  <c r="J28" i="1"/>
  <c r="K28" i="1" s="1"/>
  <c r="C25" i="6" s="1"/>
  <c r="I25" i="2"/>
  <c r="J24" i="2"/>
  <c r="K24" i="2" s="1"/>
  <c r="D21" i="6" s="1"/>
  <c r="I16" i="2" l="1"/>
  <c r="J17" i="2"/>
  <c r="K17" i="2" s="1"/>
  <c r="D14" i="6" s="1"/>
  <c r="I26" i="2"/>
  <c r="J25" i="2"/>
  <c r="K25" i="2" s="1"/>
  <c r="D22" i="6" s="1"/>
  <c r="I30" i="1"/>
  <c r="J29" i="1"/>
  <c r="K29" i="1" s="1"/>
  <c r="C26" i="6" s="1"/>
  <c r="I14" i="1"/>
  <c r="J15" i="1"/>
  <c r="K15" i="1" s="1"/>
  <c r="C12" i="6" s="1"/>
  <c r="I15" i="2" l="1"/>
  <c r="J16" i="2"/>
  <c r="K16" i="2" s="1"/>
  <c r="D13" i="6" s="1"/>
  <c r="I13" i="1"/>
  <c r="J14" i="1"/>
  <c r="K14" i="1" s="1"/>
  <c r="C11" i="6" s="1"/>
  <c r="K30" i="13"/>
  <c r="G27" i="6" s="1"/>
  <c r="I31" i="1"/>
  <c r="J30" i="1"/>
  <c r="K30" i="1" s="1"/>
  <c r="C27" i="6" s="1"/>
  <c r="K30" i="11"/>
  <c r="E27" i="6" s="1"/>
  <c r="I27" i="2"/>
  <c r="J26" i="2"/>
  <c r="K26" i="2" s="1"/>
  <c r="D23" i="6" s="1"/>
  <c r="I14" i="2" l="1"/>
  <c r="J15" i="2"/>
  <c r="K15" i="2" s="1"/>
  <c r="D12" i="6" s="1"/>
  <c r="I32" i="1"/>
  <c r="J31" i="1"/>
  <c r="K31" i="1" s="1"/>
  <c r="C28" i="6" s="1"/>
  <c r="I12" i="1"/>
  <c r="J13" i="1"/>
  <c r="K13" i="1" s="1"/>
  <c r="C10" i="6" s="1"/>
  <c r="I28" i="2"/>
  <c r="J27" i="2"/>
  <c r="K27" i="2" s="1"/>
  <c r="D24" i="6" s="1"/>
  <c r="I13" i="2" l="1"/>
  <c r="J14" i="2"/>
  <c r="K14" i="2" s="1"/>
  <c r="D11" i="6" s="1"/>
  <c r="I29" i="2"/>
  <c r="J28" i="2"/>
  <c r="K28" i="2" s="1"/>
  <c r="D25" i="6" s="1"/>
  <c r="I11" i="1"/>
  <c r="J12" i="1"/>
  <c r="K12" i="1" s="1"/>
  <c r="C9" i="6" s="1"/>
  <c r="I33" i="1"/>
  <c r="J32" i="1"/>
  <c r="K32" i="1" s="1"/>
  <c r="C29" i="6" s="1"/>
  <c r="I12" i="2" l="1"/>
  <c r="J13" i="2"/>
  <c r="K13" i="2" s="1"/>
  <c r="D10" i="6" s="1"/>
  <c r="I34" i="1"/>
  <c r="J33" i="1"/>
  <c r="K33" i="1" s="1"/>
  <c r="C30" i="6" s="1"/>
  <c r="I10" i="1"/>
  <c r="J11" i="1"/>
  <c r="K11" i="1" s="1"/>
  <c r="C8" i="6" s="1"/>
  <c r="I30" i="2"/>
  <c r="J29" i="2"/>
  <c r="K29" i="2" s="1"/>
  <c r="D26" i="6" s="1"/>
  <c r="I11" i="2" l="1"/>
  <c r="J12" i="2"/>
  <c r="K12" i="2" s="1"/>
  <c r="D9" i="6" s="1"/>
  <c r="I31" i="2"/>
  <c r="J30" i="2"/>
  <c r="K30" i="2" s="1"/>
  <c r="D27" i="6" s="1"/>
  <c r="I9" i="1"/>
  <c r="J10" i="1"/>
  <c r="K10" i="1" s="1"/>
  <c r="C7" i="6" s="1"/>
  <c r="J34" i="1"/>
  <c r="K34" i="1" s="1"/>
  <c r="C31" i="6" s="1"/>
  <c r="I35" i="1"/>
  <c r="I10" i="2" l="1"/>
  <c r="J11" i="2"/>
  <c r="K11" i="2" s="1"/>
  <c r="D8" i="6" s="1"/>
  <c r="J35" i="1"/>
  <c r="K35" i="1" s="1"/>
  <c r="C32" i="6" s="1"/>
  <c r="I36" i="1"/>
  <c r="J36" i="1" s="1"/>
  <c r="I8" i="1"/>
  <c r="J8" i="1" s="1"/>
  <c r="K8" i="1" s="1"/>
  <c r="J9" i="1"/>
  <c r="K9" i="1" s="1"/>
  <c r="C6" i="6" s="1"/>
  <c r="I32" i="2"/>
  <c r="J31" i="2"/>
  <c r="K31" i="2" s="1"/>
  <c r="D28" i="6" s="1"/>
  <c r="I9" i="2" l="1"/>
  <c r="J10" i="2"/>
  <c r="K10" i="2" s="1"/>
  <c r="D7" i="6" s="1"/>
  <c r="K36" i="1"/>
  <c r="C33" i="6" s="1"/>
  <c r="I8" i="12"/>
  <c r="J8" i="12" s="1"/>
  <c r="K8" i="12" s="1"/>
  <c r="I8" i="14"/>
  <c r="J8" i="14" s="1"/>
  <c r="K8" i="14" s="1"/>
  <c r="I33" i="2"/>
  <c r="J32" i="2"/>
  <c r="K32" i="2" s="1"/>
  <c r="D29" i="6" s="1"/>
  <c r="C5" i="6"/>
  <c r="J1" i="1"/>
  <c r="J2" i="1"/>
  <c r="I8" i="2" l="1"/>
  <c r="J8" i="2" s="1"/>
  <c r="K8" i="2" s="1"/>
  <c r="J9" i="2"/>
  <c r="K9" i="2" s="1"/>
  <c r="D6" i="6" s="1"/>
  <c r="J3" i="1"/>
  <c r="C1" i="6"/>
  <c r="C2" i="6"/>
  <c r="I34" i="2"/>
  <c r="J33" i="2"/>
  <c r="K33" i="2" s="1"/>
  <c r="D30" i="6" s="1"/>
  <c r="F5" i="6"/>
  <c r="H5" i="6"/>
  <c r="D5" i="6" l="1"/>
  <c r="I35" i="2"/>
  <c r="J34" i="2"/>
  <c r="K34" i="2" s="1"/>
  <c r="D31" i="6" s="1"/>
  <c r="J35" i="2" l="1"/>
  <c r="K35" i="2" s="1"/>
  <c r="D32" i="6" s="1"/>
  <c r="I36" i="2"/>
  <c r="J36" i="2" s="1"/>
  <c r="J1" i="2" l="1"/>
  <c r="K36" i="2"/>
  <c r="D33" i="6" s="1"/>
  <c r="D1" i="6" s="1"/>
  <c r="J24" i="14"/>
  <c r="J24" i="12"/>
  <c r="I8" i="11"/>
  <c r="I8" i="13"/>
  <c r="J2" i="2" l="1"/>
  <c r="D2" i="6"/>
  <c r="J3" i="2"/>
  <c r="J8" i="13"/>
  <c r="K8" i="13" s="1"/>
  <c r="N5" i="13"/>
  <c r="I24" i="3"/>
  <c r="K24" i="3"/>
  <c r="I21" i="6" s="1"/>
  <c r="I24" i="14"/>
  <c r="K24" i="14"/>
  <c r="H21" i="6" s="1"/>
  <c r="J8" i="11"/>
  <c r="K8" i="11" s="1"/>
  <c r="N5" i="11"/>
  <c r="I24" i="12"/>
  <c r="K24" i="12"/>
  <c r="F21" i="6" s="1"/>
  <c r="I29" i="13" l="1"/>
  <c r="I29" i="11"/>
  <c r="N5" i="12"/>
  <c r="I23" i="12" s="1"/>
  <c r="E5" i="6"/>
  <c r="N5" i="14"/>
  <c r="I23" i="14" s="1"/>
  <c r="G5" i="6"/>
  <c r="I28" i="13" l="1"/>
  <c r="J29" i="13"/>
  <c r="K29" i="13" s="1"/>
  <c r="G26" i="6" s="1"/>
  <c r="I28" i="11"/>
  <c r="J29" i="11"/>
  <c r="K29" i="11" s="1"/>
  <c r="E26" i="6" s="1"/>
  <c r="I22" i="14"/>
  <c r="J23" i="14"/>
  <c r="K23" i="14" s="1"/>
  <c r="H20" i="6" s="1"/>
  <c r="I22" i="12"/>
  <c r="J23" i="12"/>
  <c r="K23" i="12" s="1"/>
  <c r="F20" i="6" s="1"/>
  <c r="J28" i="13" l="1"/>
  <c r="K28" i="13" s="1"/>
  <c r="G25" i="6" s="1"/>
  <c r="I27" i="13"/>
  <c r="I27" i="11"/>
  <c r="J28" i="11"/>
  <c r="K28" i="11" s="1"/>
  <c r="E25" i="6" s="1"/>
  <c r="I21" i="12"/>
  <c r="J22" i="12"/>
  <c r="K22" i="12" s="1"/>
  <c r="F19" i="6" s="1"/>
  <c r="I21" i="14"/>
  <c r="J22" i="14"/>
  <c r="K22" i="14" s="1"/>
  <c r="H19" i="6" s="1"/>
  <c r="I26" i="13" l="1"/>
  <c r="J27" i="13"/>
  <c r="K27" i="13" s="1"/>
  <c r="G24" i="6" s="1"/>
  <c r="J27" i="11"/>
  <c r="K27" i="11" s="1"/>
  <c r="E24" i="6" s="1"/>
  <c r="I26" i="11"/>
  <c r="I20" i="14"/>
  <c r="J21" i="14"/>
  <c r="K21" i="14" s="1"/>
  <c r="H18" i="6" s="1"/>
  <c r="I20" i="12"/>
  <c r="J21" i="12"/>
  <c r="K21" i="12" s="1"/>
  <c r="F18" i="6" s="1"/>
  <c r="J26" i="13" l="1"/>
  <c r="K26" i="13" s="1"/>
  <c r="G23" i="6" s="1"/>
  <c r="I25" i="13"/>
  <c r="I25" i="11"/>
  <c r="J26" i="11"/>
  <c r="K26" i="11" s="1"/>
  <c r="E23" i="6" s="1"/>
  <c r="I19" i="12"/>
  <c r="J20" i="12"/>
  <c r="K20" i="12" s="1"/>
  <c r="F17" i="6" s="1"/>
  <c r="I19" i="14"/>
  <c r="J20" i="14"/>
  <c r="K20" i="14" s="1"/>
  <c r="H17" i="6" s="1"/>
  <c r="J25" i="13" l="1"/>
  <c r="K25" i="13" s="1"/>
  <c r="G22" i="6" s="1"/>
  <c r="I24" i="13"/>
  <c r="I24" i="11"/>
  <c r="J25" i="11"/>
  <c r="K25" i="11" s="1"/>
  <c r="E22" i="6" s="1"/>
  <c r="I18" i="14"/>
  <c r="J19" i="14"/>
  <c r="K19" i="14" s="1"/>
  <c r="H16" i="6" s="1"/>
  <c r="I18" i="12"/>
  <c r="J19" i="12"/>
  <c r="K19" i="12" s="1"/>
  <c r="F16" i="6" s="1"/>
  <c r="J24" i="13" l="1"/>
  <c r="K24" i="13" s="1"/>
  <c r="G21" i="6" s="1"/>
  <c r="I23" i="13"/>
  <c r="I23" i="11"/>
  <c r="J24" i="11"/>
  <c r="K24" i="11" s="1"/>
  <c r="E21" i="6" s="1"/>
  <c r="I17" i="12"/>
  <c r="J18" i="12"/>
  <c r="K18" i="12" s="1"/>
  <c r="F15" i="6" s="1"/>
  <c r="I17" i="14"/>
  <c r="J18" i="14"/>
  <c r="K18" i="14" s="1"/>
  <c r="H15" i="6" s="1"/>
  <c r="J23" i="13" l="1"/>
  <c r="K23" i="13" s="1"/>
  <c r="G20" i="6" s="1"/>
  <c r="I22" i="13"/>
  <c r="J23" i="11"/>
  <c r="K23" i="11" s="1"/>
  <c r="E20" i="6" s="1"/>
  <c r="I22" i="11"/>
  <c r="I16" i="14"/>
  <c r="J17" i="14"/>
  <c r="K17" i="14" s="1"/>
  <c r="H14" i="6" s="1"/>
  <c r="I16" i="12"/>
  <c r="J17" i="12"/>
  <c r="K17" i="12" s="1"/>
  <c r="F14" i="6" s="1"/>
  <c r="J22" i="13" l="1"/>
  <c r="K22" i="13" s="1"/>
  <c r="G19" i="6" s="1"/>
  <c r="I21" i="13"/>
  <c r="I21" i="11"/>
  <c r="J22" i="11"/>
  <c r="K22" i="11" s="1"/>
  <c r="E19" i="6" s="1"/>
  <c r="J16" i="12"/>
  <c r="I15" i="12"/>
  <c r="I15" i="14"/>
  <c r="J16" i="14"/>
  <c r="J21" i="13" l="1"/>
  <c r="K21" i="13" s="1"/>
  <c r="G18" i="6" s="1"/>
  <c r="I20" i="13"/>
  <c r="I20" i="11"/>
  <c r="J21" i="11"/>
  <c r="K21" i="11" s="1"/>
  <c r="E18" i="6" s="1"/>
  <c r="I14" i="14"/>
  <c r="J15" i="14"/>
  <c r="K15" i="14" s="1"/>
  <c r="H12" i="6" s="1"/>
  <c r="I8" i="5"/>
  <c r="K16" i="12"/>
  <c r="F13" i="6" s="1"/>
  <c r="K16" i="14"/>
  <c r="H13" i="6" s="1"/>
  <c r="I14" i="12"/>
  <c r="J15" i="12"/>
  <c r="K15" i="12" s="1"/>
  <c r="F12" i="6" s="1"/>
  <c r="K30" i="5" l="1"/>
  <c r="J27" i="6" s="1"/>
  <c r="I30" i="5"/>
  <c r="J20" i="13"/>
  <c r="K20" i="13" s="1"/>
  <c r="G17" i="6" s="1"/>
  <c r="I19" i="13"/>
  <c r="I19" i="11"/>
  <c r="J20" i="11"/>
  <c r="K20" i="11" s="1"/>
  <c r="E17" i="6" s="1"/>
  <c r="I13" i="12"/>
  <c r="J14" i="12"/>
  <c r="K14" i="12" s="1"/>
  <c r="F11" i="6" s="1"/>
  <c r="J8" i="5"/>
  <c r="K8" i="5" s="1"/>
  <c r="N5" i="5"/>
  <c r="I13" i="14"/>
  <c r="J14" i="14"/>
  <c r="K14" i="14" s="1"/>
  <c r="H11" i="6" s="1"/>
  <c r="I29" i="5" l="1"/>
  <c r="J19" i="13"/>
  <c r="K19" i="13" s="1"/>
  <c r="G16" i="6" s="1"/>
  <c r="I18" i="13"/>
  <c r="I18" i="11"/>
  <c r="J19" i="11"/>
  <c r="I12" i="14"/>
  <c r="J13" i="14"/>
  <c r="K13" i="14" s="1"/>
  <c r="H10" i="6" s="1"/>
  <c r="J5" i="6"/>
  <c r="I12" i="12"/>
  <c r="J13" i="12"/>
  <c r="K13" i="12" s="1"/>
  <c r="F10" i="6" s="1"/>
  <c r="I28" i="5" l="1"/>
  <c r="J29" i="5"/>
  <c r="K29" i="5" s="1"/>
  <c r="J26" i="6" s="1"/>
  <c r="J18" i="13"/>
  <c r="K18" i="13" s="1"/>
  <c r="G15" i="6" s="1"/>
  <c r="I17" i="13"/>
  <c r="I8" i="3"/>
  <c r="K19" i="11"/>
  <c r="E16" i="6" s="1"/>
  <c r="I17" i="11"/>
  <c r="J18" i="11"/>
  <c r="K18" i="11" s="1"/>
  <c r="E15" i="6" s="1"/>
  <c r="I11" i="12"/>
  <c r="J12" i="12"/>
  <c r="K12" i="12" s="1"/>
  <c r="F9" i="6" s="1"/>
  <c r="I11" i="14"/>
  <c r="J12" i="14"/>
  <c r="K12" i="14" s="1"/>
  <c r="H9" i="6" s="1"/>
  <c r="I27" i="5" l="1"/>
  <c r="J28" i="5"/>
  <c r="K28" i="5" s="1"/>
  <c r="J25" i="6" s="1"/>
  <c r="J17" i="13"/>
  <c r="K17" i="13" s="1"/>
  <c r="G14" i="6" s="1"/>
  <c r="I16" i="13"/>
  <c r="I16" i="11"/>
  <c r="J17" i="11"/>
  <c r="K17" i="11" s="1"/>
  <c r="E14" i="6" s="1"/>
  <c r="J8" i="3"/>
  <c r="K8" i="3" s="1"/>
  <c r="I5" i="6" s="1"/>
  <c r="N5" i="3"/>
  <c r="I23" i="3" s="1"/>
  <c r="J23" i="3" s="1"/>
  <c r="I10" i="14"/>
  <c r="J11" i="14"/>
  <c r="K11" i="14" s="1"/>
  <c r="H8" i="6" s="1"/>
  <c r="I10" i="12"/>
  <c r="J11" i="12"/>
  <c r="K11" i="12" s="1"/>
  <c r="F8" i="6" s="1"/>
  <c r="I26" i="5" l="1"/>
  <c r="J27" i="5"/>
  <c r="K27" i="5" s="1"/>
  <c r="J24" i="6" s="1"/>
  <c r="J16" i="13"/>
  <c r="K16" i="13" s="1"/>
  <c r="G13" i="6" s="1"/>
  <c r="I15" i="13"/>
  <c r="I22" i="3"/>
  <c r="J22" i="3" s="1"/>
  <c r="K23" i="3"/>
  <c r="I20" i="6" s="1"/>
  <c r="I15" i="11"/>
  <c r="J16" i="11"/>
  <c r="K16" i="11" s="1"/>
  <c r="E13" i="6" s="1"/>
  <c r="I9" i="12"/>
  <c r="J9" i="12" s="1"/>
  <c r="K9" i="12" s="1"/>
  <c r="J10" i="12"/>
  <c r="K10" i="12" s="1"/>
  <c r="F7" i="6" s="1"/>
  <c r="I9" i="14"/>
  <c r="J9" i="14" s="1"/>
  <c r="K9" i="14" s="1"/>
  <c r="J10" i="14"/>
  <c r="K10" i="14" s="1"/>
  <c r="H7" i="6" s="1"/>
  <c r="J26" i="5" l="1"/>
  <c r="K26" i="5" s="1"/>
  <c r="J23" i="6" s="1"/>
  <c r="I25" i="5"/>
  <c r="I14" i="13"/>
  <c r="J15" i="13"/>
  <c r="K15" i="13" s="1"/>
  <c r="G12" i="6" s="1"/>
  <c r="J15" i="11"/>
  <c r="K15" i="11" s="1"/>
  <c r="E12" i="6" s="1"/>
  <c r="I14" i="11"/>
  <c r="K22" i="3"/>
  <c r="I19" i="6" s="1"/>
  <c r="I21" i="3"/>
  <c r="J21" i="3" s="1"/>
  <c r="H6" i="6"/>
  <c r="J1" i="14"/>
  <c r="J2" i="14"/>
  <c r="F6" i="6"/>
  <c r="J2" i="12"/>
  <c r="J1" i="12"/>
  <c r="I24" i="5" l="1"/>
  <c r="J25" i="5"/>
  <c r="K25" i="5" s="1"/>
  <c r="J22" i="6" s="1"/>
  <c r="J14" i="13"/>
  <c r="K14" i="13" s="1"/>
  <c r="G11" i="6" s="1"/>
  <c r="I13" i="13"/>
  <c r="K21" i="3"/>
  <c r="I18" i="6" s="1"/>
  <c r="I20" i="3"/>
  <c r="J20" i="3" s="1"/>
  <c r="J14" i="11"/>
  <c r="K14" i="11" s="1"/>
  <c r="E11" i="6" s="1"/>
  <c r="I13" i="11"/>
  <c r="J3" i="14"/>
  <c r="J3" i="12"/>
  <c r="F2" i="6"/>
  <c r="F1" i="6"/>
  <c r="H2" i="6"/>
  <c r="H1" i="6"/>
  <c r="I23" i="5" l="1"/>
  <c r="J24" i="5"/>
  <c r="K24" i="5" s="1"/>
  <c r="J21" i="6" s="1"/>
  <c r="I12" i="13"/>
  <c r="J13" i="13"/>
  <c r="K13" i="13" s="1"/>
  <c r="G10" i="6" s="1"/>
  <c r="J13" i="11"/>
  <c r="K13" i="11" s="1"/>
  <c r="E10" i="6" s="1"/>
  <c r="I12" i="11"/>
  <c r="I19" i="3"/>
  <c r="J19" i="3" s="1"/>
  <c r="K20" i="3"/>
  <c r="I17" i="6" s="1"/>
  <c r="I22" i="5" l="1"/>
  <c r="J23" i="5"/>
  <c r="K23" i="5" s="1"/>
  <c r="J20" i="6" s="1"/>
  <c r="J12" i="13"/>
  <c r="K12" i="13" s="1"/>
  <c r="G9" i="6" s="1"/>
  <c r="I11" i="13"/>
  <c r="I11" i="11"/>
  <c r="J12" i="11"/>
  <c r="K12" i="11" s="1"/>
  <c r="E9" i="6" s="1"/>
  <c r="I18" i="3"/>
  <c r="J18" i="3" s="1"/>
  <c r="K19" i="3"/>
  <c r="I16" i="6" s="1"/>
  <c r="I21" i="5" l="1"/>
  <c r="J22" i="5"/>
  <c r="K22" i="5" s="1"/>
  <c r="J19" i="6" s="1"/>
  <c r="I10" i="13"/>
  <c r="J11" i="13"/>
  <c r="K11" i="13" s="1"/>
  <c r="G8" i="6" s="1"/>
  <c r="K18" i="3"/>
  <c r="I15" i="6" s="1"/>
  <c r="I17" i="3"/>
  <c r="J17" i="3" s="1"/>
  <c r="I10" i="11"/>
  <c r="J11" i="11"/>
  <c r="K11" i="11" s="1"/>
  <c r="E8" i="6" s="1"/>
  <c r="I20" i="5" l="1"/>
  <c r="J21" i="5"/>
  <c r="K21" i="5" s="1"/>
  <c r="J18" i="6" s="1"/>
  <c r="I9" i="13"/>
  <c r="J9" i="13" s="1"/>
  <c r="K9" i="13" s="1"/>
  <c r="J10" i="13"/>
  <c r="K10" i="13" s="1"/>
  <c r="G7" i="6" s="1"/>
  <c r="K17" i="3"/>
  <c r="I14" i="6" s="1"/>
  <c r="I16" i="3"/>
  <c r="J16" i="3" s="1"/>
  <c r="I9" i="11"/>
  <c r="J9" i="11" s="1"/>
  <c r="K9" i="11" s="1"/>
  <c r="J10" i="11"/>
  <c r="K10" i="11" s="1"/>
  <c r="E7" i="6" s="1"/>
  <c r="J20" i="5" l="1"/>
  <c r="K20" i="5" s="1"/>
  <c r="J17" i="6" s="1"/>
  <c r="I19" i="5"/>
  <c r="G6" i="6"/>
  <c r="J2" i="13"/>
  <c r="J1" i="13"/>
  <c r="I15" i="3"/>
  <c r="J15" i="3" s="1"/>
  <c r="K16" i="3"/>
  <c r="I13" i="6" s="1"/>
  <c r="P19" i="6" s="1"/>
  <c r="E6" i="6"/>
  <c r="J2" i="11"/>
  <c r="J1" i="11"/>
  <c r="I18" i="5" l="1"/>
  <c r="J19" i="5"/>
  <c r="K19" i="5" s="1"/>
  <c r="J16" i="6" s="1"/>
  <c r="P20" i="6" s="1"/>
  <c r="J3" i="13"/>
  <c r="G1" i="6"/>
  <c r="G2" i="6"/>
  <c r="J3" i="11"/>
  <c r="E1" i="6"/>
  <c r="E2" i="6"/>
  <c r="I14" i="3"/>
  <c r="J14" i="3" s="1"/>
  <c r="K15" i="3"/>
  <c r="I12" i="6" s="1"/>
  <c r="I17" i="5" l="1"/>
  <c r="J18" i="5"/>
  <c r="K18" i="5" s="1"/>
  <c r="J15" i="6" s="1"/>
  <c r="I13" i="3"/>
  <c r="J13" i="3" s="1"/>
  <c r="K14" i="3"/>
  <c r="I11" i="6" s="1"/>
  <c r="I16" i="5" l="1"/>
  <c r="J17" i="5"/>
  <c r="K17" i="5" s="1"/>
  <c r="J14" i="6" s="1"/>
  <c r="I12" i="3"/>
  <c r="J12" i="3" s="1"/>
  <c r="K13" i="3"/>
  <c r="I10" i="6" s="1"/>
  <c r="I15" i="5" l="1"/>
  <c r="J16" i="5"/>
  <c r="K16" i="5" s="1"/>
  <c r="J13" i="6" s="1"/>
  <c r="K12" i="3"/>
  <c r="I9" i="6" s="1"/>
  <c r="I11" i="3"/>
  <c r="J11" i="3" s="1"/>
  <c r="I14" i="5" l="1"/>
  <c r="J15" i="5"/>
  <c r="K15" i="5" s="1"/>
  <c r="J12" i="6" s="1"/>
  <c r="K11" i="3"/>
  <c r="I8" i="6" s="1"/>
  <c r="I10" i="3"/>
  <c r="J10" i="3" s="1"/>
  <c r="I9" i="3" l="1"/>
  <c r="I13" i="5"/>
  <c r="J14" i="5"/>
  <c r="K14" i="5" s="1"/>
  <c r="J11" i="6" s="1"/>
  <c r="K10" i="3"/>
  <c r="I7" i="6" s="1"/>
  <c r="J9" i="3"/>
  <c r="K9" i="3" s="1"/>
  <c r="I12" i="5" l="1"/>
  <c r="J13" i="5"/>
  <c r="K13" i="5" s="1"/>
  <c r="J10" i="6" s="1"/>
  <c r="I6" i="6"/>
  <c r="J1" i="3"/>
  <c r="J2" i="3"/>
  <c r="I11" i="5" l="1"/>
  <c r="J12" i="5"/>
  <c r="K12" i="5" s="1"/>
  <c r="J9" i="6" s="1"/>
  <c r="J3" i="3"/>
  <c r="I1" i="6"/>
  <c r="I2" i="6"/>
  <c r="I10" i="5" l="1"/>
  <c r="J11" i="5"/>
  <c r="K11" i="5" s="1"/>
  <c r="J8" i="6" s="1"/>
  <c r="I9" i="5" l="1"/>
  <c r="J9" i="5" s="1"/>
  <c r="K9" i="5" s="1"/>
  <c r="J10" i="5"/>
  <c r="K10" i="5" s="1"/>
  <c r="J7" i="6" s="1"/>
  <c r="J2" i="5" l="1"/>
  <c r="J6" i="6"/>
  <c r="J1" i="5"/>
  <c r="J3" i="5" s="1"/>
  <c r="J1" i="6" l="1"/>
  <c r="K1" i="6" s="1"/>
  <c r="J2" i="6"/>
  <c r="K2" i="6" s="1"/>
  <c r="K3" i="6" l="1"/>
  <c r="P15" i="6" l="1"/>
  <c r="P14" i="6"/>
</calcChain>
</file>

<file path=xl/sharedStrings.xml><?xml version="1.0" encoding="utf-8"?>
<sst xmlns="http://schemas.openxmlformats.org/spreadsheetml/2006/main" count="202" uniqueCount="78">
  <si>
    <t>Column</t>
  </si>
  <si>
    <t>Correction Factor</t>
  </si>
  <si>
    <t>Foot Length(inches)</t>
  </si>
  <si>
    <t>Conversion Factor</t>
  </si>
  <si>
    <t>min</t>
  </si>
  <si>
    <t>max</t>
  </si>
  <si>
    <t>max elev</t>
  </si>
  <si>
    <t>Line A</t>
  </si>
  <si>
    <t>Min</t>
  </si>
  <si>
    <t>Max</t>
  </si>
  <si>
    <t>Max Elevation</t>
  </si>
  <si>
    <t>A</t>
  </si>
  <si>
    <t>B</t>
  </si>
  <si>
    <t>G</t>
  </si>
  <si>
    <t>H</t>
  </si>
  <si>
    <t>CUSTOMER:</t>
  </si>
  <si>
    <t>S/N:</t>
  </si>
  <si>
    <t>C</t>
  </si>
  <si>
    <t>D</t>
  </si>
  <si>
    <t>E</t>
  </si>
  <si>
    <t>F</t>
  </si>
  <si>
    <t>Line D</t>
  </si>
  <si>
    <t>Line C</t>
  </si>
  <si>
    <t>Line B</t>
  </si>
  <si>
    <t>Closure Error</t>
  </si>
  <si>
    <t>Map Dimensions</t>
  </si>
  <si>
    <t>Foot Size (in)</t>
  </si>
  <si>
    <t>X ArcSec Meas</t>
  </si>
  <si>
    <t>Y ArcSec Meas</t>
  </si>
  <si>
    <t>ID:</t>
  </si>
  <si>
    <t>Width:</t>
  </si>
  <si>
    <t>Temp Start:</t>
  </si>
  <si>
    <t>Temp End:</t>
  </si>
  <si>
    <t>Plate Top:</t>
  </si>
  <si>
    <t>Plate Bottom:</t>
  </si>
  <si>
    <t>Repeat:</t>
  </si>
  <si>
    <t>Grade:</t>
  </si>
  <si>
    <t>G:</t>
  </si>
  <si>
    <t>H:</t>
  </si>
  <si>
    <t>Reference Line</t>
  </si>
  <si>
    <t>Wid</t>
  </si>
  <si>
    <t>Len</t>
  </si>
  <si>
    <t>Woff</t>
  </si>
  <si>
    <t>Loff</t>
  </si>
  <si>
    <t>Perim Border X</t>
  </si>
  <si>
    <t>Perim Border Y</t>
  </si>
  <si>
    <t>Line H</t>
  </si>
  <si>
    <t>Line G</t>
  </si>
  <si>
    <t>Line F</t>
  </si>
  <si>
    <t>Line E</t>
  </si>
  <si>
    <t>Diag#</t>
  </si>
  <si>
    <t>x#</t>
  </si>
  <si>
    <t>y#</t>
  </si>
  <si>
    <t>Dim</t>
  </si>
  <si>
    <t>Border</t>
  </si>
  <si>
    <t>RUN:</t>
  </si>
  <si>
    <t>Flatness:</t>
  </si>
  <si>
    <t>Canvas</t>
  </si>
  <si>
    <t>Mfr:</t>
  </si>
  <si>
    <t>Cert/WO#:</t>
  </si>
  <si>
    <t>Date</t>
  </si>
  <si>
    <t>Technician</t>
  </si>
  <si>
    <t>Results</t>
  </si>
  <si>
    <t>Plate Characteristics</t>
  </si>
  <si>
    <t>Onsite</t>
  </si>
  <si>
    <t>Jgilliam</t>
  </si>
  <si>
    <t>Diagonal (Inches)</t>
  </si>
  <si>
    <t>Diagonal (Meas)</t>
  </si>
  <si>
    <t>Row 0</t>
  </si>
  <si>
    <t>dollins</t>
  </si>
  <si>
    <t>001b</t>
  </si>
  <si>
    <t>Setup</t>
  </si>
  <si>
    <t>Summary</t>
  </si>
  <si>
    <t>Grades</t>
  </si>
  <si>
    <t>AA</t>
  </si>
  <si>
    <t>Line Order is very important to this process, at least during data-entry.</t>
  </si>
  <si>
    <t>Note: "Width" is less-long dimension of the plate.</t>
  </si>
  <si>
    <t>Length: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</si>
</sst>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&quot;Row &quot;##"/>
  </numFmts>
  <fonts count="14" x14ac:knownFonts="1">
    <font>
      <sz val="10"/>
      <name val="Arial"/>
    </font>
    <font>
      <b/>
      <sz val="12"/>
      <color indexed="12"/>
      <name val="Arial"/>
      <family val="2"/>
    </font>
    <font>
      <b/>
      <u/>
      <sz val="14"/>
      <color indexed="12"/>
      <name val="Arial"/>
      <family val="2"/>
    </font>
    <font>
      <b/>
      <u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u/>
      <sz val="9"/>
      <color indexed="12"/>
      <name val="Arial"/>
      <family val="2"/>
    </font>
    <font>
      <u/>
      <sz val="10"/>
      <color indexed="12"/>
      <name val="Arial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20"/>
      <color rgb="FFFF0000"/>
      <name val="Arial"/>
      <family val="2"/>
    </font>
    <font>
      <sz val="10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</fills>
  <borders count="43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1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2" borderId="1" xfId="0" applyFill="1" applyBorder="1"/>
    <xf numFmtId="0" fontId="0" fillId="3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0" borderId="0" xfId="0" applyFont="1"/>
    <xf numFmtId="2" fontId="0" fillId="4" borderId="0" xfId="0" applyNumberFormat="1" applyFill="1" applyAlignment="1">
      <alignment horizontal="center"/>
    </xf>
    <xf numFmtId="0" fontId="0" fillId="2" borderId="4" xfId="0" applyFill="1" applyBorder="1"/>
    <xf numFmtId="0" fontId="0" fillId="3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5" fillId="0" borderId="0" xfId="0" applyFont="1"/>
    <xf numFmtId="0" fontId="0" fillId="5" borderId="7" xfId="0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6" borderId="0" xfId="0" applyNumberFormat="1" applyFill="1" applyAlignment="1">
      <alignment horizontal="center"/>
    </xf>
    <xf numFmtId="0" fontId="0" fillId="3" borderId="11" xfId="0" applyFill="1" applyBorder="1"/>
    <xf numFmtId="0" fontId="0" fillId="3" borderId="7" xfId="0" applyFill="1" applyBorder="1"/>
    <xf numFmtId="2" fontId="0" fillId="3" borderId="7" xfId="0" applyNumberFormat="1" applyFill="1" applyBorder="1"/>
    <xf numFmtId="2" fontId="0" fillId="0" borderId="7" xfId="0" applyNumberFormat="1" applyBorder="1" applyAlignment="1">
      <alignment horizontal="center"/>
    </xf>
    <xf numFmtId="2" fontId="0" fillId="4" borderId="7" xfId="0" applyNumberFormat="1" applyFill="1" applyBorder="1"/>
    <xf numFmtId="164" fontId="0" fillId="6" borderId="7" xfId="0" applyNumberFormat="1" applyFill="1" applyBorder="1"/>
    <xf numFmtId="1" fontId="0" fillId="6" borderId="12" xfId="0" applyNumberFormat="1" applyFill="1" applyBorder="1"/>
    <xf numFmtId="0" fontId="6" fillId="0" borderId="0" xfId="0" applyFont="1"/>
    <xf numFmtId="2" fontId="0" fillId="6" borderId="7" xfId="0" applyNumberFormat="1" applyFill="1" applyBorder="1"/>
    <xf numFmtId="1" fontId="0" fillId="0" borderId="0" xfId="0" applyNumberForma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" fontId="0" fillId="0" borderId="0" xfId="0" applyNumberFormat="1" applyAlignment="1">
      <alignment horizontal="center"/>
    </xf>
    <xf numFmtId="1" fontId="5" fillId="6" borderId="0" xfId="0" applyNumberFormat="1" applyFon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0" xfId="0" applyNumberFormat="1" applyAlignment="1">
      <alignment horizontal="right"/>
    </xf>
    <xf numFmtId="1" fontId="7" fillId="0" borderId="0" xfId="1" applyNumberFormat="1" applyAlignment="1" applyProtection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right"/>
    </xf>
    <xf numFmtId="1" fontId="0" fillId="0" borderId="13" xfId="0" applyNumberFormat="1" applyFill="1" applyBorder="1" applyAlignment="1">
      <alignment horizontal="center"/>
    </xf>
    <xf numFmtId="0" fontId="9" fillId="0" borderId="16" xfId="0" applyFont="1" applyBorder="1" applyAlignment="1">
      <alignment horizontal="right"/>
    </xf>
    <xf numFmtId="0" fontId="9" fillId="0" borderId="17" xfId="0" applyFont="1" applyBorder="1" applyAlignment="1">
      <alignment horizontal="right"/>
    </xf>
    <xf numFmtId="0" fontId="9" fillId="0" borderId="17" xfId="0" applyFont="1" applyFill="1" applyBorder="1" applyAlignment="1">
      <alignment horizontal="right"/>
    </xf>
    <xf numFmtId="0" fontId="9" fillId="0" borderId="18" xfId="0" applyFont="1" applyBorder="1" applyAlignment="1">
      <alignment horizontal="right"/>
    </xf>
    <xf numFmtId="0" fontId="9" fillId="0" borderId="18" xfId="0" applyFont="1" applyFill="1" applyBorder="1" applyAlignment="1">
      <alignment horizontal="right"/>
    </xf>
    <xf numFmtId="0" fontId="9" fillId="0" borderId="19" xfId="0" applyFont="1" applyFill="1" applyBorder="1" applyAlignment="1">
      <alignment horizontal="right"/>
    </xf>
    <xf numFmtId="0" fontId="10" fillId="7" borderId="13" xfId="0" applyFont="1" applyFill="1" applyBorder="1" applyAlignment="1" applyProtection="1">
      <alignment horizontal="center"/>
      <protection locked="0"/>
    </xf>
    <xf numFmtId="0" fontId="10" fillId="7" borderId="20" xfId="0" applyFont="1" applyFill="1" applyBorder="1" applyAlignment="1" applyProtection="1">
      <alignment horizontal="center"/>
      <protection locked="0"/>
    </xf>
    <xf numFmtId="0" fontId="10" fillId="7" borderId="14" xfId="0" applyFont="1" applyFill="1" applyBorder="1" applyAlignment="1" applyProtection="1">
      <alignment horizontal="center"/>
      <protection locked="0"/>
    </xf>
    <xf numFmtId="165" fontId="8" fillId="0" borderId="15" xfId="0" applyNumberFormat="1" applyFont="1" applyBorder="1" applyAlignment="1">
      <alignment horizontal="center"/>
    </xf>
    <xf numFmtId="0" fontId="0" fillId="0" borderId="0" xfId="0" applyFill="1"/>
    <xf numFmtId="0" fontId="0" fillId="0" borderId="21" xfId="0" applyBorder="1"/>
    <xf numFmtId="0" fontId="10" fillId="0" borderId="0" xfId="0" applyFont="1" applyFill="1" applyBorder="1" applyAlignment="1">
      <alignment horizontal="left"/>
    </xf>
    <xf numFmtId="0" fontId="0" fillId="3" borderId="22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0" borderId="24" xfId="0" applyBorder="1"/>
    <xf numFmtId="1" fontId="0" fillId="6" borderId="25" xfId="0" applyNumberFormat="1" applyFill="1" applyBorder="1"/>
    <xf numFmtId="0" fontId="0" fillId="0" borderId="26" xfId="0" applyBorder="1"/>
    <xf numFmtId="0" fontId="0" fillId="2" borderId="0" xfId="0" applyFill="1" applyBorder="1" applyAlignment="1">
      <alignment horizontal="center"/>
    </xf>
    <xf numFmtId="0" fontId="0" fillId="0" borderId="0" xfId="0" applyBorder="1"/>
    <xf numFmtId="2" fontId="0" fillId="8" borderId="7" xfId="0" applyNumberFormat="1" applyFill="1" applyBorder="1"/>
    <xf numFmtId="0" fontId="11" fillId="0" borderId="0" xfId="0" applyFont="1" applyFill="1" applyBorder="1"/>
    <xf numFmtId="0" fontId="11" fillId="0" borderId="0" xfId="0" applyFont="1"/>
    <xf numFmtId="164" fontId="0" fillId="9" borderId="11" xfId="0" applyNumberFormat="1" applyFill="1" applyBorder="1" applyAlignment="1" applyProtection="1">
      <alignment horizontal="center"/>
      <protection locked="0"/>
    </xf>
    <xf numFmtId="164" fontId="0" fillId="9" borderId="7" xfId="0" applyNumberFormat="1" applyFill="1" applyBorder="1" applyAlignment="1" applyProtection="1">
      <alignment horizontal="center"/>
      <protection locked="0"/>
    </xf>
    <xf numFmtId="164" fontId="8" fillId="9" borderId="11" xfId="0" applyNumberFormat="1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27" xfId="0" applyBorder="1" applyAlignment="1">
      <alignment horizontal="center"/>
    </xf>
    <xf numFmtId="14" fontId="10" fillId="7" borderId="13" xfId="0" applyNumberFormat="1" applyFont="1" applyFill="1" applyBorder="1" applyAlignment="1" applyProtection="1">
      <alignment horizontal="center"/>
      <protection locked="0"/>
    </xf>
    <xf numFmtId="1" fontId="0" fillId="0" borderId="14" xfId="0" applyNumberFormat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/>
    </xf>
    <xf numFmtId="1" fontId="0" fillId="0" borderId="28" xfId="0" applyNumberFormat="1" applyBorder="1" applyAlignment="1">
      <alignment horizontal="center"/>
    </xf>
    <xf numFmtId="0" fontId="0" fillId="0" borderId="28" xfId="0" applyBorder="1"/>
    <xf numFmtId="0" fontId="5" fillId="0" borderId="29" xfId="0" applyFont="1" applyBorder="1" applyAlignment="1">
      <alignment horizontal="center"/>
    </xf>
    <xf numFmtId="0" fontId="5" fillId="0" borderId="30" xfId="0" applyFon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32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0" fontId="0" fillId="0" borderId="0" xfId="0" applyAlignment="1"/>
    <xf numFmtId="0" fontId="8" fillId="0" borderId="0" xfId="0" applyNumberFormat="1" applyFont="1" applyAlignment="1"/>
    <xf numFmtId="0" fontId="8" fillId="0" borderId="0" xfId="0" applyNumberFormat="1" applyFont="1"/>
    <xf numFmtId="0" fontId="8" fillId="0" borderId="0" xfId="0" applyFont="1"/>
    <xf numFmtId="0" fontId="0" fillId="10" borderId="36" xfId="0" applyFill="1" applyBorder="1"/>
    <xf numFmtId="0" fontId="0" fillId="10" borderId="0" xfId="0" applyFill="1" applyBorder="1"/>
    <xf numFmtId="0" fontId="0" fillId="10" borderId="37" xfId="0" applyFill="1" applyBorder="1"/>
    <xf numFmtId="0" fontId="0" fillId="10" borderId="30" xfId="0" applyFill="1" applyBorder="1"/>
    <xf numFmtId="0" fontId="0" fillId="10" borderId="35" xfId="0" applyFill="1" applyBorder="1"/>
    <xf numFmtId="0" fontId="0" fillId="12" borderId="0" xfId="0" applyFill="1"/>
    <xf numFmtId="0" fontId="12" fillId="11" borderId="38" xfId="0" applyFont="1" applyFill="1" applyBorder="1" applyAlignment="1">
      <alignment horizontal="center" vertical="center"/>
    </xf>
    <xf numFmtId="0" fontId="12" fillId="11" borderId="39" xfId="0" applyFont="1" applyFill="1" applyBorder="1" applyAlignment="1">
      <alignment horizontal="center" vertical="center"/>
    </xf>
    <xf numFmtId="0" fontId="12" fillId="11" borderId="33" xfId="0" applyFont="1" applyFill="1" applyBorder="1" applyAlignment="1">
      <alignment horizontal="center" vertical="center"/>
    </xf>
    <xf numFmtId="0" fontId="12" fillId="11" borderId="40" xfId="0" applyFont="1" applyFill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5" xfId="0" applyFont="1" applyFill="1" applyBorder="1" applyAlignment="1">
      <alignment horizontal="center" vertical="center"/>
    </xf>
    <xf numFmtId="0" fontId="12" fillId="11" borderId="41" xfId="0" applyFont="1" applyFill="1" applyBorder="1" applyAlignment="1">
      <alignment horizontal="center" vertical="center"/>
    </xf>
    <xf numFmtId="0" fontId="12" fillId="11" borderId="42" xfId="0" applyFont="1" applyFill="1" applyBorder="1" applyAlignment="1">
      <alignment horizontal="center" vertical="center"/>
    </xf>
    <xf numFmtId="0" fontId="12" fillId="11" borderId="27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/>
    </xf>
    <xf numFmtId="0" fontId="5" fillId="0" borderId="20" xfId="0" applyFont="1" applyFill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65"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133350</xdr:colOff>
      <xdr:row>3</xdr:row>
      <xdr:rowOff>57150</xdr:rowOff>
    </xdr:from>
    <xdr:to>
      <xdr:col>23</xdr:col>
      <xdr:colOff>142875</xdr:colOff>
      <xdr:row>25</xdr:row>
      <xdr:rowOff>85725</xdr:rowOff>
    </xdr:to>
    <xdr:pic>
      <xdr:nvPicPr>
        <xdr:cNvPr id="1107" name="Picture 1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5675" y="723900"/>
          <a:ext cx="3667125" cy="3686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21</xdr:col>
      <xdr:colOff>533400</xdr:colOff>
      <xdr:row>18</xdr:row>
      <xdr:rowOff>123825</xdr:rowOff>
    </xdr:from>
    <xdr:to>
      <xdr:col>22</xdr:col>
      <xdr:colOff>190500</xdr:colOff>
      <xdr:row>20</xdr:row>
      <xdr:rowOff>76200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144125" y="3295650"/>
          <a:ext cx="2667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</a:t>
          </a:r>
        </a:p>
      </xdr:txBody>
    </xdr:sp>
    <xdr:clientData/>
  </xdr:twoCellAnchor>
  <xdr:twoCellAnchor>
    <xdr:from>
      <xdr:col>20</xdr:col>
      <xdr:colOff>504825</xdr:colOff>
      <xdr:row>5</xdr:row>
      <xdr:rowOff>19050</xdr:rowOff>
    </xdr:from>
    <xdr:to>
      <xdr:col>21</xdr:col>
      <xdr:colOff>133350</xdr:colOff>
      <xdr:row>6</xdr:row>
      <xdr:rowOff>123825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9505950" y="1028700"/>
          <a:ext cx="238125" cy="276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</a:t>
          </a:r>
        </a:p>
      </xdr:txBody>
    </xdr:sp>
    <xdr:clientData/>
  </xdr:twoCellAnchor>
  <xdr:twoCellAnchor>
    <xdr:from>
      <xdr:col>18</xdr:col>
      <xdr:colOff>190500</xdr:colOff>
      <xdr:row>8</xdr:row>
      <xdr:rowOff>133350</xdr:rowOff>
    </xdr:from>
    <xdr:to>
      <xdr:col>18</xdr:col>
      <xdr:colOff>419100</xdr:colOff>
      <xdr:row>10</xdr:row>
      <xdr:rowOff>47625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7972425" y="1647825"/>
          <a:ext cx="228600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>
    <xdr:from>
      <xdr:col>19</xdr:col>
      <xdr:colOff>171450</xdr:colOff>
      <xdr:row>22</xdr:row>
      <xdr:rowOff>76200</xdr:rowOff>
    </xdr:from>
    <xdr:to>
      <xdr:col>19</xdr:col>
      <xdr:colOff>390525</xdr:colOff>
      <xdr:row>23</xdr:row>
      <xdr:rowOff>152400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8562975" y="3914775"/>
          <a:ext cx="21907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F</a:t>
          </a:r>
        </a:p>
      </xdr:txBody>
    </xdr:sp>
    <xdr:clientData/>
  </xdr:twoCellAnchor>
  <xdr:twoCellAnchor>
    <xdr:from>
      <xdr:col>20</xdr:col>
      <xdr:colOff>504825</xdr:colOff>
      <xdr:row>8</xdr:row>
      <xdr:rowOff>123825</xdr:rowOff>
    </xdr:from>
    <xdr:to>
      <xdr:col>21</xdr:col>
      <xdr:colOff>123825</xdr:colOff>
      <xdr:row>10</xdr:row>
      <xdr:rowOff>47625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9505950" y="1638300"/>
          <a:ext cx="22860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</a:t>
          </a:r>
        </a:p>
      </xdr:txBody>
    </xdr:sp>
    <xdr:clientData/>
  </xdr:twoCellAnchor>
  <xdr:twoCellAnchor>
    <xdr:from>
      <xdr:col>21</xdr:col>
      <xdr:colOff>19050</xdr:colOff>
      <xdr:row>17</xdr:row>
      <xdr:rowOff>142875</xdr:rowOff>
    </xdr:from>
    <xdr:to>
      <xdr:col>21</xdr:col>
      <xdr:colOff>257175</xdr:colOff>
      <xdr:row>19</xdr:row>
      <xdr:rowOff>57150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629775" y="3152775"/>
          <a:ext cx="2381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</a:t>
          </a:r>
        </a:p>
      </xdr:txBody>
    </xdr:sp>
    <xdr:clientData/>
  </xdr:twoCellAnchor>
  <xdr:twoCellAnchor>
    <xdr:from>
      <xdr:col>21</xdr:col>
      <xdr:colOff>47625</xdr:colOff>
      <xdr:row>13</xdr:row>
      <xdr:rowOff>9525</xdr:rowOff>
    </xdr:from>
    <xdr:to>
      <xdr:col>21</xdr:col>
      <xdr:colOff>295275</xdr:colOff>
      <xdr:row>14</xdr:row>
      <xdr:rowOff>76200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9658350" y="2352675"/>
          <a:ext cx="247650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G</a:t>
          </a:r>
        </a:p>
      </xdr:txBody>
    </xdr:sp>
    <xdr:clientData/>
  </xdr:twoCellAnchor>
  <xdr:twoCellAnchor>
    <xdr:from>
      <xdr:col>19</xdr:col>
      <xdr:colOff>504825</xdr:colOff>
      <xdr:row>8</xdr:row>
      <xdr:rowOff>123825</xdr:rowOff>
    </xdr:from>
    <xdr:to>
      <xdr:col>20</xdr:col>
      <xdr:colOff>133350</xdr:colOff>
      <xdr:row>10</xdr:row>
      <xdr:rowOff>57150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8896350" y="1638300"/>
          <a:ext cx="238125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4</xdr:row>
          <xdr:rowOff>28575</xdr:rowOff>
        </xdr:from>
        <xdr:to>
          <xdr:col>11</xdr:col>
          <xdr:colOff>866775</xdr:colOff>
          <xdr:row>20</xdr:row>
          <xdr:rowOff>114300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R268"/>
  <sheetViews>
    <sheetView tabSelected="1" workbookViewId="0">
      <selection activeCell="N17" sqref="N17"/>
    </sheetView>
  </sheetViews>
  <sheetFormatPr defaultRowHeight="12.75" x14ac:dyDescent="0.2"/>
  <cols>
    <col min="1" max="1" width="0.7109375" customWidth="1"/>
    <col min="2" max="2" width="0.7109375" style="67" customWidth="1"/>
    <col min="3" max="9" width="4.5703125" style="81" bestFit="1" customWidth="1"/>
    <col min="10" max="11" width="4.5703125" bestFit="1" customWidth="1"/>
    <col min="12" max="12" width="14" bestFit="1" customWidth="1"/>
    <col min="13" max="13" width="16.85546875" bestFit="1" customWidth="1"/>
    <col min="14" max="14" width="11" bestFit="1" customWidth="1"/>
    <col min="15" max="15" width="12" bestFit="1" customWidth="1"/>
    <col min="16" max="16" width="10.5703125" customWidth="1"/>
    <col min="17" max="17" width="0.7109375" customWidth="1"/>
  </cols>
  <sheetData>
    <row r="1" spans="2:18" x14ac:dyDescent="0.2">
      <c r="B1" s="78"/>
      <c r="C1" s="84">
        <f t="shared" ref="C1:J1" si="0">MIN(C5:C120)</f>
        <v>-69</v>
      </c>
      <c r="D1" s="85">
        <f t="shared" si="0"/>
        <v>-161</v>
      </c>
      <c r="E1" s="85">
        <f t="shared" si="0"/>
        <v>-161</v>
      </c>
      <c r="F1" s="85">
        <f t="shared" si="0"/>
        <v>-161</v>
      </c>
      <c r="G1" s="85">
        <f t="shared" si="0"/>
        <v>-211</v>
      </c>
      <c r="H1" s="85">
        <f t="shared" si="0"/>
        <v>-161</v>
      </c>
      <c r="I1" s="85">
        <f t="shared" si="0"/>
        <v>-146</v>
      </c>
      <c r="J1" s="86">
        <f t="shared" si="0"/>
        <v>-71</v>
      </c>
      <c r="K1" s="35">
        <f>MIN(C1:J1)</f>
        <v>-211</v>
      </c>
      <c r="L1" s="11" t="s">
        <v>8</v>
      </c>
      <c r="M1" s="100" t="s">
        <v>71</v>
      </c>
      <c r="N1" s="101"/>
      <c r="O1" s="101"/>
      <c r="P1" s="102"/>
      <c r="R1" s="93" t="s">
        <v>76</v>
      </c>
    </row>
    <row r="2" spans="2:18" ht="13.5" thickBot="1" x14ac:dyDescent="0.25">
      <c r="B2" s="78"/>
      <c r="C2" s="87">
        <f t="shared" ref="C2:J2" si="1">MAX(C5:C120)</f>
        <v>29</v>
      </c>
      <c r="D2" s="88">
        <f t="shared" si="1"/>
        <v>27</v>
      </c>
      <c r="E2" s="88">
        <f t="shared" si="1"/>
        <v>-1</v>
      </c>
      <c r="F2" s="88">
        <f t="shared" si="1"/>
        <v>-25</v>
      </c>
      <c r="G2" s="88">
        <f t="shared" si="1"/>
        <v>-69</v>
      </c>
      <c r="H2" s="88">
        <f t="shared" si="1"/>
        <v>72</v>
      </c>
      <c r="I2" s="88">
        <f t="shared" si="1"/>
        <v>40</v>
      </c>
      <c r="J2" s="89">
        <f t="shared" si="1"/>
        <v>71</v>
      </c>
      <c r="K2" s="35">
        <f>MAX(C2:J2)</f>
        <v>72</v>
      </c>
      <c r="L2" s="11" t="s">
        <v>9</v>
      </c>
      <c r="M2" s="103"/>
      <c r="N2" s="104"/>
      <c r="O2" s="104"/>
      <c r="P2" s="105"/>
      <c r="R2" t="s">
        <v>75</v>
      </c>
    </row>
    <row r="3" spans="2:18" ht="26.25" thickBot="1" x14ac:dyDescent="0.25">
      <c r="C3" s="106" t="s">
        <v>72</v>
      </c>
      <c r="D3" s="107"/>
      <c r="E3" s="107"/>
      <c r="F3" s="107"/>
      <c r="G3" s="107"/>
      <c r="H3" s="107"/>
      <c r="I3" s="107"/>
      <c r="J3" s="108"/>
      <c r="K3" s="34">
        <f>ABS(K1-K2)</f>
        <v>283</v>
      </c>
      <c r="L3" s="11" t="s">
        <v>10</v>
      </c>
      <c r="M3" s="48" t="s">
        <v>59</v>
      </c>
      <c r="N3" s="55">
        <v>1001176898</v>
      </c>
      <c r="O3" s="111" t="s">
        <v>64</v>
      </c>
      <c r="P3" s="112"/>
    </row>
    <row r="4" spans="2:18" ht="13.5" thickBot="1" x14ac:dyDescent="0.25">
      <c r="B4" s="79"/>
      <c r="C4" s="82" t="s">
        <v>11</v>
      </c>
      <c r="D4" s="82" t="s">
        <v>12</v>
      </c>
      <c r="E4" s="82" t="s">
        <v>17</v>
      </c>
      <c r="F4" s="82" t="s">
        <v>18</v>
      </c>
      <c r="G4" s="82" t="s">
        <v>19</v>
      </c>
      <c r="H4" s="82" t="s">
        <v>20</v>
      </c>
      <c r="I4" s="82" t="s">
        <v>13</v>
      </c>
      <c r="J4" s="83" t="s">
        <v>14</v>
      </c>
      <c r="M4" s="49" t="s">
        <v>29</v>
      </c>
      <c r="N4" s="54">
        <v>101</v>
      </c>
      <c r="O4" s="49" t="s">
        <v>60</v>
      </c>
      <c r="P4" s="76">
        <f ca="1">TODAY()</f>
        <v>42746</v>
      </c>
    </row>
    <row r="5" spans="2:18" ht="13.5" thickBot="1" x14ac:dyDescent="0.25">
      <c r="B5" s="79"/>
      <c r="C5" s="80">
        <f>IF(A!K8="","",ROUND(A!K8,0))</f>
        <v>-69</v>
      </c>
      <c r="D5" s="80">
        <f>IF(B!K8="","",ROUND(B!K8,0))</f>
        <v>-161</v>
      </c>
      <c r="E5" s="80">
        <f>IF('C'!K8="","",ROUND('C'!K8,0))</f>
        <v>-161</v>
      </c>
      <c r="F5" s="80">
        <f>IF(D!K8="","",ROUND(D!K8,0))</f>
        <v>-69</v>
      </c>
      <c r="G5" s="80">
        <f>IF(E!K8="","",ROUND(E!K8,0))</f>
        <v>-161</v>
      </c>
      <c r="H5" s="80">
        <f>IF(F!K8="","",ROUND(F!K8,0))</f>
        <v>-69</v>
      </c>
      <c r="I5" s="80">
        <f>IF(G!K8="","",ROUND(G!K8,0))</f>
        <v>-6</v>
      </c>
      <c r="J5" s="33">
        <f>IF(H!K8="","",ROUND(H!K8,0))</f>
        <v>-71</v>
      </c>
      <c r="K5" s="99"/>
      <c r="L5" s="99"/>
      <c r="M5" s="50" t="s">
        <v>55</v>
      </c>
      <c r="N5" s="54" t="s">
        <v>57</v>
      </c>
      <c r="O5" s="52" t="s">
        <v>15</v>
      </c>
      <c r="P5" s="56" t="s">
        <v>69</v>
      </c>
    </row>
    <row r="6" spans="2:18" ht="13.5" thickBot="1" x14ac:dyDescent="0.25">
      <c r="B6" s="79"/>
      <c r="C6" s="80">
        <f>IF(A!K9="","",ROUND(A!K9,0))</f>
        <v>-66</v>
      </c>
      <c r="D6" s="80">
        <f>IF(B!K9="","",ROUND(B!K9,0))</f>
        <v>-116</v>
      </c>
      <c r="E6" s="80">
        <f>IF('C'!K9="","",ROUND('C'!K9,0))</f>
        <v>-134</v>
      </c>
      <c r="F6" s="80">
        <f>IF(D!K9="","",ROUND(D!K9,0))</f>
        <v>-56</v>
      </c>
      <c r="G6" s="80">
        <f>IF(E!K9="","",ROUND(E!K9,0))</f>
        <v>-175</v>
      </c>
      <c r="H6" s="80">
        <f>IF(F!K9="","",ROUND(F!K9,0))</f>
        <v>-42</v>
      </c>
      <c r="I6" s="80">
        <f>IF(G!K9="","",ROUND(G!K9,0))</f>
        <v>17</v>
      </c>
      <c r="J6" s="33">
        <f>IF(H!K9="","",ROUND(H!K9,0))</f>
        <v>-59</v>
      </c>
      <c r="K6" s="99"/>
      <c r="L6" s="99"/>
      <c r="M6" s="51" t="s">
        <v>61</v>
      </c>
      <c r="N6" s="56" t="s">
        <v>65</v>
      </c>
      <c r="O6" s="95"/>
      <c r="P6" s="96"/>
    </row>
    <row r="7" spans="2:18" ht="13.5" thickBot="1" x14ac:dyDescent="0.25">
      <c r="B7" s="79"/>
      <c r="C7" s="80">
        <f>IF(A!K10="","",ROUND(A!K10,0))</f>
        <v>-62</v>
      </c>
      <c r="D7" s="80">
        <f>IF(B!K10="","",ROUND(B!K10,0))</f>
        <v>-72</v>
      </c>
      <c r="E7" s="80">
        <f>IF('C'!K10="","",ROUND('C'!K10,0))</f>
        <v>-107</v>
      </c>
      <c r="F7" s="80">
        <f>IF(D!K10="","",ROUND(D!K10,0))</f>
        <v>-42</v>
      </c>
      <c r="G7" s="80">
        <f>IF(E!K10="","",ROUND(E!K10,0))</f>
        <v>-190</v>
      </c>
      <c r="H7" s="80">
        <f>IF(F!K10="","",ROUND(F!K10,0))</f>
        <v>-14</v>
      </c>
      <c r="I7" s="80">
        <f>IF(G!K10="","",ROUND(G!K10,0))</f>
        <v>40</v>
      </c>
      <c r="J7" s="33">
        <f>IF(H!K10="","",ROUND(H!K10,0))</f>
        <v>-46</v>
      </c>
      <c r="K7" s="99"/>
      <c r="L7" s="99"/>
      <c r="M7" s="94"/>
      <c r="N7" s="95"/>
      <c r="O7" s="111" t="s">
        <v>63</v>
      </c>
      <c r="P7" s="112"/>
    </row>
    <row r="8" spans="2:18" x14ac:dyDescent="0.2">
      <c r="B8" s="79"/>
      <c r="C8" s="80">
        <f>IF(A!K11="","",ROUND(A!K11,0))</f>
        <v>-68</v>
      </c>
      <c r="D8" s="80">
        <f>IF(B!K11="","",ROUND(B!K11,0))</f>
        <v>-38</v>
      </c>
      <c r="E8" s="80">
        <f>IF('C'!K11="","",ROUND('C'!K11,0))</f>
        <v>-75</v>
      </c>
      <c r="F8" s="80">
        <f>IF(D!K11="","",ROUND(D!K11,0))</f>
        <v>-31</v>
      </c>
      <c r="G8" s="80">
        <f>IF(E!K11="","",ROUND(E!K11,0))</f>
        <v>-185</v>
      </c>
      <c r="H8" s="80">
        <f>IF(F!K11="","",ROUND(F!K11,0))</f>
        <v>16</v>
      </c>
      <c r="I8" s="80">
        <f>IF(G!K11="","",ROUND(G!K11,0))</f>
        <v>37</v>
      </c>
      <c r="J8" s="33">
        <f>IF(H!K11="","",ROUND(H!K11,0))</f>
        <v>-38</v>
      </c>
      <c r="K8" s="99"/>
      <c r="L8" s="99"/>
      <c r="M8" s="48" t="s">
        <v>31</v>
      </c>
      <c r="N8" s="55">
        <v>23</v>
      </c>
      <c r="O8" s="49" t="s">
        <v>58</v>
      </c>
      <c r="P8" s="54"/>
    </row>
    <row r="9" spans="2:18" x14ac:dyDescent="0.2">
      <c r="B9" s="79"/>
      <c r="C9" s="80">
        <f>IF(A!K12="","",ROUND(A!K12,0))</f>
        <v>-62</v>
      </c>
      <c r="D9" s="80">
        <f>IF(B!K12="","",ROUND(B!K12,0))</f>
        <v>-11</v>
      </c>
      <c r="E9" s="80">
        <f>IF('C'!K12="","",ROUND('C'!K12,0))</f>
        <v>-51</v>
      </c>
      <c r="F9" s="80">
        <f>IF(D!K12="","",ROUND(D!K12,0))</f>
        <v>-28</v>
      </c>
      <c r="G9" s="80">
        <f>IF(E!K12="","",ROUND(E!K12,0))</f>
        <v>-193</v>
      </c>
      <c r="H9" s="80">
        <f>IF(F!K12="","",ROUND(F!K12,0))</f>
        <v>37</v>
      </c>
      <c r="I9" s="80">
        <f>IF(G!K12="","",ROUND(G!K12,0))</f>
        <v>40</v>
      </c>
      <c r="J9" s="33">
        <f>IF(H!K12="","",ROUND(H!K12,0))</f>
        <v>-33</v>
      </c>
      <c r="K9" s="99"/>
      <c r="L9" s="99"/>
      <c r="M9" s="49" t="s">
        <v>32</v>
      </c>
      <c r="N9" s="54">
        <v>23</v>
      </c>
      <c r="O9" s="49" t="s">
        <v>16</v>
      </c>
      <c r="P9" s="54" t="s">
        <v>70</v>
      </c>
    </row>
    <row r="10" spans="2:18" x14ac:dyDescent="0.2">
      <c r="B10" s="79"/>
      <c r="C10" s="80">
        <f>IF(A!K13="","",ROUND(A!K13,0))</f>
        <v>-59</v>
      </c>
      <c r="D10" s="80">
        <f>IF(B!K13="","",ROUND(B!K13,0))</f>
        <v>4</v>
      </c>
      <c r="E10" s="80">
        <f>IF('C'!K13="","",ROUND('C'!K13,0))</f>
        <v>-40</v>
      </c>
      <c r="F10" s="80">
        <f>IF(D!K13="","",ROUND(D!K13,0))</f>
        <v>-25</v>
      </c>
      <c r="G10" s="80">
        <f>IF(E!K13="","",ROUND(E!K13,0))</f>
        <v>-206</v>
      </c>
      <c r="H10" s="80">
        <f>IF(F!K13="","",ROUND(F!K13,0))</f>
        <v>63</v>
      </c>
      <c r="I10" s="80">
        <f>IF(G!K13="","",ROUND(G!K13,0))</f>
        <v>38</v>
      </c>
      <c r="J10" s="33">
        <f>IF(H!K13="","",ROUND(H!K13,0))</f>
        <v>-20</v>
      </c>
      <c r="K10" s="99"/>
      <c r="L10" s="99"/>
      <c r="M10" s="49" t="s">
        <v>33</v>
      </c>
      <c r="N10" s="54">
        <v>23</v>
      </c>
      <c r="O10" s="50" t="s">
        <v>30</v>
      </c>
      <c r="P10" s="54">
        <v>36</v>
      </c>
    </row>
    <row r="11" spans="2:18" ht="13.5" thickBot="1" x14ac:dyDescent="0.25">
      <c r="B11" s="79"/>
      <c r="C11" s="80">
        <f>IF(A!K14="","",ROUND(A!K14,0))</f>
        <v>-60</v>
      </c>
      <c r="D11" s="80">
        <f>IF(B!K14="","",ROUND(B!K14,0))</f>
        <v>16</v>
      </c>
      <c r="E11" s="80">
        <f>IF('C'!K14="","",ROUND('C'!K14,0))</f>
        <v>-33</v>
      </c>
      <c r="F11" s="80">
        <f>IF(D!K14="","",ROUND(D!K14,0))</f>
        <v>-28</v>
      </c>
      <c r="G11" s="80">
        <f>IF(E!K14="","",ROUND(E!K14,0))</f>
        <v>-211</v>
      </c>
      <c r="H11" s="80">
        <f>IF(F!K14="","",ROUND(F!K14,0))</f>
        <v>69</v>
      </c>
      <c r="I11" s="80">
        <f>IF(G!K14="","",ROUND(G!K14,0))</f>
        <v>38</v>
      </c>
      <c r="J11" s="33">
        <f>IF(H!K14="","",ROUND(H!K14,0))</f>
        <v>-20</v>
      </c>
      <c r="K11" s="99"/>
      <c r="L11" s="99"/>
      <c r="M11" s="51" t="s">
        <v>34</v>
      </c>
      <c r="N11" s="56">
        <v>23</v>
      </c>
      <c r="O11" s="52" t="s">
        <v>77</v>
      </c>
      <c r="P11" s="56">
        <v>48</v>
      </c>
    </row>
    <row r="12" spans="2:18" ht="13.5" thickBot="1" x14ac:dyDescent="0.25">
      <c r="B12" s="79"/>
      <c r="C12" s="80">
        <f>IF(A!K15="","",ROUND(A!K15,0))</f>
        <v>-54</v>
      </c>
      <c r="D12" s="80">
        <f>IF(B!K15="","",ROUND(B!K15,0))</f>
        <v>19</v>
      </c>
      <c r="E12" s="80">
        <f>IF('C'!K15="","",ROUND('C'!K15,0))</f>
        <v>-23</v>
      </c>
      <c r="F12" s="80">
        <f>IF(D!K15="","",ROUND(D!K15,0))</f>
        <v>-57</v>
      </c>
      <c r="G12" s="80">
        <f>IF(E!K15="","",ROUND(E!K15,0))</f>
        <v>-203</v>
      </c>
      <c r="H12" s="80">
        <f>IF(F!K15="","",ROUND(F!K15,0))</f>
        <v>72</v>
      </c>
      <c r="I12" s="80">
        <f>IF(G!K15="","",ROUND(G!K15,0))</f>
        <v>30</v>
      </c>
      <c r="J12" s="33">
        <f>IF(H!K15="","",ROUND(H!K15,0))</f>
        <v>-11</v>
      </c>
      <c r="K12" s="99"/>
      <c r="L12" s="99"/>
      <c r="M12" s="94"/>
      <c r="N12" s="95"/>
      <c r="O12" s="95"/>
      <c r="P12" s="96"/>
    </row>
    <row r="13" spans="2:18" x14ac:dyDescent="0.2">
      <c r="B13" s="79"/>
      <c r="C13" s="80">
        <f>IF(A!K16="","",ROUND(A!K16,0))</f>
        <v>-45</v>
      </c>
      <c r="D13" s="80">
        <f>IF(B!K16="","",ROUND(B!K16,0))</f>
        <v>19</v>
      </c>
      <c r="E13" s="80">
        <f>IF('C'!K16="","",ROUND('C'!K16,0))</f>
        <v>-16</v>
      </c>
      <c r="F13" s="80">
        <f>IF(D!K16="","",ROUND(D!K16,0))</f>
        <v>-71</v>
      </c>
      <c r="G13" s="80">
        <f>IF(E!K16="","",ROUND(E!K16,0))</f>
        <v>-190</v>
      </c>
      <c r="H13" s="80">
        <f>IF(F!K16="","",ROUND(F!K16,0))</f>
        <v>71</v>
      </c>
      <c r="I13" s="80">
        <f>IF(G!K16="","",ROUND(G!K16,0))</f>
        <v>23</v>
      </c>
      <c r="J13" s="33">
        <f>IF(H!K16="","",ROUND(H!K16,0))</f>
        <v>9</v>
      </c>
      <c r="K13" s="99"/>
      <c r="L13" s="99"/>
      <c r="M13" s="109" t="s">
        <v>25</v>
      </c>
      <c r="N13" s="110"/>
      <c r="O13" s="111" t="s">
        <v>62</v>
      </c>
      <c r="P13" s="112"/>
    </row>
    <row r="14" spans="2:18" x14ac:dyDescent="0.2">
      <c r="B14" s="79"/>
      <c r="C14" s="80">
        <f>IF(A!K17="","",ROUND(A!K17,0))</f>
        <v>-32</v>
      </c>
      <c r="D14" s="80">
        <f>IF(B!K17="","",ROUND(B!K17,0))</f>
        <v>20</v>
      </c>
      <c r="E14" s="80">
        <f>IF('C'!K17="","",ROUND('C'!K17,0))</f>
        <v>-8</v>
      </c>
      <c r="F14" s="80">
        <f>IF(D!K17="","",ROUND(D!K17,0))</f>
        <v>-91</v>
      </c>
      <c r="G14" s="80">
        <f>IF(E!K17="","",ROUND(E!K17,0))</f>
        <v>-178</v>
      </c>
      <c r="H14" s="80">
        <f>IF(F!K17="","",ROUND(F!K17,0))</f>
        <v>59</v>
      </c>
      <c r="I14" s="80">
        <f>IF(G!K17="","",ROUND(G!K17,0))</f>
        <v>13</v>
      </c>
      <c r="J14" s="33">
        <f>IF(H!K17="","",ROUND(H!K17,0))</f>
        <v>9</v>
      </c>
      <c r="K14" s="99"/>
      <c r="L14" s="99"/>
      <c r="M14" s="50" t="s">
        <v>27</v>
      </c>
      <c r="N14" s="36">
        <f>INT((('Setup &amp; Summary'!P10-'Setup &amp; Summary'!N19*2)/'Setup &amp; Summary'!N16)/2+0.5)*2</f>
        <v>16</v>
      </c>
      <c r="O14" s="50" t="s">
        <v>36</v>
      </c>
      <c r="P14" s="36" t="str">
        <f>IF(OR(K3&lt;INDEX(Figurings!J:J,'Setup &amp; Summary'!$Q$25),K3=INDEX(Figurings!J:J,'Setup &amp; Summary'!$Q$25)),"AA",IF(OR(K3&lt;INDEX(Figurings!K:K,'Setup &amp; Summary'!$Q$25),K3=INDEX(Figurings!K:K,'Setup &amp; Summary'!$Q$25)),"A",IF(OR(K3&lt;INDEX(Figurings!L:L,'Setup &amp; Summary'!$Q$25),K3=INDEX(Figurings!L:L,'Setup &amp; Summary'!$Q$25)),"B",IF(OR(K3&lt;INDEX(Figurings!M:M,'Setup &amp; Summary'!$Q$25),K3=INDEX(Figurings!M:M,'Setup &amp; Summary'!$Q$25)),"C","Not Gradeable"))))</f>
        <v>A</v>
      </c>
    </row>
    <row r="15" spans="2:18" x14ac:dyDescent="0.2">
      <c r="B15" s="79"/>
      <c r="C15" s="80">
        <f>IF(A!K18="","",ROUND(A!K18,0))</f>
        <v>-20</v>
      </c>
      <c r="D15" s="80">
        <f>IF(B!K18="","",ROUND(B!K18,0))</f>
        <v>18</v>
      </c>
      <c r="E15" s="80">
        <f>IF('C'!K18="","",ROUND('C'!K18,0))</f>
        <v>-9</v>
      </c>
      <c r="F15" s="80">
        <f>IF(D!K18="","",ROUND(D!K18,0))</f>
        <v>-100</v>
      </c>
      <c r="G15" s="80">
        <f>IF(E!K18="","",ROUND(E!K18,0))</f>
        <v>-163</v>
      </c>
      <c r="H15" s="80">
        <f>IF(F!K18="","",ROUND(F!K18,0))</f>
        <v>46</v>
      </c>
      <c r="I15" s="80">
        <f>IF(G!K18="","",ROUND(G!K18,0))</f>
        <v>-8</v>
      </c>
      <c r="J15" s="33">
        <f>IF(H!K18="","",ROUND(H!K18,0))</f>
        <v>18</v>
      </c>
      <c r="K15" s="99"/>
      <c r="L15" s="99"/>
      <c r="M15" s="50" t="s">
        <v>28</v>
      </c>
      <c r="N15" s="36">
        <f>INT((('Setup &amp; Summary'!P11-'Setup &amp; Summary'!N18*2)/'Setup &amp; Summary'!N16)/2+0.5)*2</f>
        <v>22</v>
      </c>
      <c r="O15" s="49" t="s">
        <v>56</v>
      </c>
      <c r="P15" s="47">
        <f>K3</f>
        <v>283</v>
      </c>
    </row>
    <row r="16" spans="2:18" ht="13.5" thickBot="1" x14ac:dyDescent="0.25">
      <c r="B16" s="79"/>
      <c r="C16" s="80">
        <f>IF(A!K19="","",ROUND(A!K19,0))</f>
        <v>-11</v>
      </c>
      <c r="D16" s="80">
        <f>IF(B!K19="","",ROUND(B!K19,0))</f>
        <v>27</v>
      </c>
      <c r="E16" s="80">
        <f>IF('C'!K19="","",ROUND('C'!K19,0))</f>
        <v>-6</v>
      </c>
      <c r="F16" s="80">
        <f>IF(D!K19="","",ROUND(D!K19,0))</f>
        <v>-119</v>
      </c>
      <c r="G16" s="80">
        <f>IF(E!K19="","",ROUND(E!K19,0))</f>
        <v>-146</v>
      </c>
      <c r="H16" s="80">
        <f>IF(F!K19="","",ROUND(F!K19,0))</f>
        <v>33</v>
      </c>
      <c r="I16" s="80">
        <f>IF(G!K19="","",ROUND(G!K19,0))</f>
        <v>-19</v>
      </c>
      <c r="J16" s="33">
        <f>IF(H!K19="","",ROUND(H!K19,0))</f>
        <v>35</v>
      </c>
      <c r="K16" s="99"/>
      <c r="L16" s="99"/>
      <c r="M16" s="50" t="s">
        <v>26</v>
      </c>
      <c r="N16" s="54">
        <v>2</v>
      </c>
      <c r="O16" s="51" t="s">
        <v>35</v>
      </c>
      <c r="P16" s="37"/>
    </row>
    <row r="17" spans="2:17" ht="13.5" thickBot="1" x14ac:dyDescent="0.25">
      <c r="B17" s="79"/>
      <c r="C17" s="80">
        <f>IF(A!K20="","",ROUND(A!K20,0))</f>
        <v>-6</v>
      </c>
      <c r="D17" s="80">
        <f>IF(B!K20="","",ROUND(B!K20,0))</f>
        <v>24</v>
      </c>
      <c r="E17" s="80">
        <f>IF('C'!K20="","",ROUND('C'!K20,0))</f>
        <v>-4</v>
      </c>
      <c r="F17" s="80">
        <f>IF(D!K20="","",ROUND(D!K20,0))</f>
        <v>-135</v>
      </c>
      <c r="G17" s="80">
        <f>IF(E!K20="","",ROUND(E!K20,0))</f>
        <v>-135</v>
      </c>
      <c r="H17" s="80">
        <f>IF(F!K20="","",ROUND(F!K20,0))</f>
        <v>0</v>
      </c>
      <c r="I17" s="80">
        <f>IF(G!K20="","",ROUND(G!K20,0))</f>
        <v>-46</v>
      </c>
      <c r="J17" s="33">
        <f>IF(H!K20="","",ROUND(H!K20,0))</f>
        <v>36</v>
      </c>
      <c r="K17" s="99"/>
      <c r="L17" s="99"/>
      <c r="M17" s="50" t="s">
        <v>39</v>
      </c>
      <c r="N17" s="54" t="s">
        <v>18</v>
      </c>
      <c r="O17" s="95"/>
      <c r="P17" s="96"/>
    </row>
    <row r="18" spans="2:17" x14ac:dyDescent="0.2">
      <c r="B18" s="79"/>
      <c r="C18" s="80">
        <f>IF(A!K21="","",ROUND(A!K21,0))</f>
        <v>0</v>
      </c>
      <c r="D18" s="80">
        <f>IF(B!K21="","",ROUND(B!K21,0))</f>
        <v>4</v>
      </c>
      <c r="E18" s="80">
        <f>IF('C'!K21="","",ROUND('C'!K21,0))</f>
        <v>-1</v>
      </c>
      <c r="F18" s="80">
        <f>IF(D!K21="","",ROUND(D!K21,0))</f>
        <v>-150</v>
      </c>
      <c r="G18" s="80">
        <f>IF(E!K21="","",ROUND(E!K21,0))</f>
        <v>-129</v>
      </c>
      <c r="H18" s="80">
        <f>IF(F!K21="","",ROUND(F!K21,0))</f>
        <v>-29</v>
      </c>
      <c r="I18" s="80">
        <f>IF(G!K21="","",ROUND(G!K21,0))</f>
        <v>-72</v>
      </c>
      <c r="J18" s="33">
        <f>IF(H!K21="","",ROUND(H!K21,0))</f>
        <v>39</v>
      </c>
      <c r="K18" s="99"/>
      <c r="L18" s="99"/>
      <c r="M18" s="50" t="s">
        <v>44</v>
      </c>
      <c r="N18" s="54">
        <f>INDEX(Figurings!C:C,'Setup &amp; Summary'!$Q$25)</f>
        <v>2</v>
      </c>
      <c r="O18" s="109" t="s">
        <v>24</v>
      </c>
      <c r="P18" s="110"/>
    </row>
    <row r="19" spans="2:17" x14ac:dyDescent="0.2">
      <c r="B19" s="79"/>
      <c r="C19" s="80">
        <f>IF(A!K22="","",ROUND(A!K22,0))</f>
        <v>0</v>
      </c>
      <c r="D19" s="80">
        <f>IF(B!K22="","",ROUND(B!K22,0))</f>
        <v>0</v>
      </c>
      <c r="E19" s="80">
        <f>IF('C'!K22="","",ROUND('C'!K22,0))</f>
        <v>-9</v>
      </c>
      <c r="F19" s="80">
        <f>IF(D!K22="","",ROUND(D!K22,0))</f>
        <v>-155</v>
      </c>
      <c r="G19" s="80">
        <f>IF(E!K22="","",ROUND(E!K22,0))</f>
        <v>-132</v>
      </c>
      <c r="H19" s="80">
        <f>IF(F!K22="","",ROUND(F!K22,0))</f>
        <v>-62</v>
      </c>
      <c r="I19" s="80">
        <f>IF(G!K22="","",ROUND(G!K22,0))</f>
        <v>-94</v>
      </c>
      <c r="J19" s="33">
        <f>IF(H!K22="","",ROUND(H!K22,0))</f>
        <v>47</v>
      </c>
      <c r="K19" s="99"/>
      <c r="L19" s="99"/>
      <c r="M19" s="50" t="s">
        <v>45</v>
      </c>
      <c r="N19" s="54">
        <f>INDEX(Figurings!D:D,'Setup &amp; Summary'!$Q$25)</f>
        <v>2</v>
      </c>
      <c r="O19" s="50" t="s">
        <v>37</v>
      </c>
      <c r="P19" s="39">
        <f ca="1">OFFSET(I4,N14/2+1,0)</f>
        <v>23</v>
      </c>
    </row>
    <row r="20" spans="2:17" ht="13.5" thickBot="1" x14ac:dyDescent="0.25">
      <c r="B20" s="79"/>
      <c r="C20" s="80">
        <f>IF(A!K23="","",ROUND(A!K23,0))</f>
        <v>17</v>
      </c>
      <c r="D20" s="80">
        <f>IF(B!K23="","",ROUND(B!K23,0))</f>
        <v>-6</v>
      </c>
      <c r="E20" s="80">
        <f>IF('C'!K23="","",ROUND('C'!K23,0))</f>
        <v>-14</v>
      </c>
      <c r="F20" s="80">
        <f>IF(D!K23="","",ROUND(D!K23,0))</f>
        <v>-160</v>
      </c>
      <c r="G20" s="80">
        <f>IF(E!K23="","",ROUND(E!K23,0))</f>
        <v>-124</v>
      </c>
      <c r="H20" s="80">
        <f>IF(F!K23="","",ROUND(F!K23,0))</f>
        <v>-112</v>
      </c>
      <c r="I20" s="80">
        <f>IF(G!K23="","",ROUND(G!K23,0))</f>
        <v>-121</v>
      </c>
      <c r="J20" s="33">
        <f>IF(H!K23="","",ROUND(H!K23,0))</f>
        <v>56</v>
      </c>
      <c r="K20" s="99"/>
      <c r="L20" s="99"/>
      <c r="M20" s="52" t="s">
        <v>66</v>
      </c>
      <c r="N20" s="37">
        <f>ROUND(SQRT((P10-N19*2)^2+(P11-N18*2)^2),3)</f>
        <v>54.405999999999999</v>
      </c>
      <c r="O20" s="52" t="s">
        <v>38</v>
      </c>
      <c r="P20" s="77">
        <f ca="1">OFFSET(J4,N15/2+1,0)</f>
        <v>35</v>
      </c>
    </row>
    <row r="21" spans="2:17" ht="13.5" thickBot="1" x14ac:dyDescent="0.25">
      <c r="B21" s="79"/>
      <c r="C21" s="80">
        <f>IF(A!K24="","",ROUND(A!K24,0))</f>
        <v>22</v>
      </c>
      <c r="D21" s="80">
        <f>IF(B!K24="","",ROUND(B!K24,0))</f>
        <v>-24</v>
      </c>
      <c r="E21" s="80">
        <f>IF('C'!K24="","",ROUND('C'!K24,0))</f>
        <v>-16</v>
      </c>
      <c r="F21" s="80">
        <f>IF(D!K24="","",ROUND(D!K24,0))</f>
        <v>-161</v>
      </c>
      <c r="G21" s="80">
        <f>IF(E!K24="","",ROUND(E!K24,0))</f>
        <v>-117</v>
      </c>
      <c r="H21" s="80">
        <f>IF(F!K24="","",ROUND(F!K24,0))</f>
        <v>-161</v>
      </c>
      <c r="I21" s="80">
        <f>IF(G!K24="","",ROUND(G!K24,0))</f>
        <v>-146</v>
      </c>
      <c r="J21" s="33">
        <f>IF(H!K24="","",ROUND(H!K24,0))</f>
        <v>59</v>
      </c>
      <c r="K21" s="99"/>
      <c r="L21" s="99"/>
      <c r="M21" s="53" t="s">
        <v>67</v>
      </c>
      <c r="N21" s="75">
        <f>INT((N20/N16)/2+0.5)*2</f>
        <v>28</v>
      </c>
      <c r="O21" s="97"/>
      <c r="P21" s="98"/>
    </row>
    <row r="22" spans="2:17" x14ac:dyDescent="0.2">
      <c r="B22" s="79"/>
      <c r="C22" s="80">
        <f>IF(A!K25="","",ROUND(A!K25,0))</f>
        <v>21</v>
      </c>
      <c r="D22" s="80">
        <f>IF(B!K25="","",ROUND(B!K25,0))</f>
        <v>-44</v>
      </c>
      <c r="E22" s="80">
        <f>IF('C'!K25="","",ROUND('C'!K25,0))</f>
        <v>-20</v>
      </c>
      <c r="F22" s="80" t="str">
        <f>IF(D!K25="","",ROUND(D!K25,0))</f>
        <v/>
      </c>
      <c r="G22" s="80">
        <f>IF(E!K25="","",ROUND(E!K25,0))</f>
        <v>-108</v>
      </c>
      <c r="H22" s="80" t="str">
        <f>IF(F!K25="","",ROUND(F!K25,0))</f>
        <v/>
      </c>
      <c r="I22" s="80" t="str">
        <f>IF(G!K25="","",ROUND(G!K25,0))</f>
        <v/>
      </c>
      <c r="J22" s="33">
        <f>IF(H!K25="","",ROUND(H!K25,0))</f>
        <v>56</v>
      </c>
    </row>
    <row r="23" spans="2:17" x14ac:dyDescent="0.2">
      <c r="B23" s="79"/>
      <c r="C23" s="80">
        <f>IF(A!K26="","",ROUND(A!K26,0))</f>
        <v>29</v>
      </c>
      <c r="D23" s="80">
        <f>IF(B!K26="","",ROUND(B!K26,0))</f>
        <v>-47</v>
      </c>
      <c r="E23" s="80">
        <f>IF('C'!K26="","",ROUND('C'!K26,0))</f>
        <v>-44</v>
      </c>
      <c r="F23" s="80" t="str">
        <f>IF(D!K26="","",ROUND(D!K26,0))</f>
        <v/>
      </c>
      <c r="G23" s="80">
        <f>IF(E!K26="","",ROUND(E!K26,0))</f>
        <v>-97</v>
      </c>
      <c r="H23" s="80" t="str">
        <f>IF(F!K26="","",ROUND(F!K26,0))</f>
        <v/>
      </c>
      <c r="I23" s="80" t="str">
        <f>IF(G!K26="","",ROUND(G!K26,0))</f>
        <v/>
      </c>
      <c r="J23" s="33">
        <f>IF(H!K26="","",ROUND(H!K26,0))</f>
        <v>59</v>
      </c>
    </row>
    <row r="24" spans="2:17" x14ac:dyDescent="0.2">
      <c r="C24" s="80">
        <f>IF(A!K27="","",ROUND(A!K27,0))</f>
        <v>17</v>
      </c>
      <c r="D24" s="80">
        <f>IF(B!K27="","",ROUND(B!K27,0))</f>
        <v>-60</v>
      </c>
      <c r="E24" s="80">
        <f>IF('C'!K27="","",ROUND('C'!K27,0))</f>
        <v>-48</v>
      </c>
      <c r="F24" s="80" t="str">
        <f>IF(D!K27="","",ROUND(D!K27,0))</f>
        <v/>
      </c>
      <c r="G24" s="80">
        <f>IF(E!K27="","",ROUND(E!K27,0))</f>
        <v>-99</v>
      </c>
      <c r="H24" s="80" t="str">
        <f>IF(F!K27="","",ROUND(F!K27,0))</f>
        <v/>
      </c>
      <c r="I24" s="80" t="str">
        <f>IF(G!K27="","",ROUND(G!K27,0))</f>
        <v/>
      </c>
      <c r="J24" s="33">
        <f>IF(H!K27="","",ROUND(H!K27,0))</f>
        <v>51</v>
      </c>
    </row>
    <row r="25" spans="2:17" x14ac:dyDescent="0.2">
      <c r="C25" s="80">
        <f>IF(A!K28="","",ROUND(A!K28,0))</f>
        <v>9</v>
      </c>
      <c r="D25" s="80">
        <f>IF(B!K28="","",ROUND(B!K28,0))</f>
        <v>-61</v>
      </c>
      <c r="E25" s="80">
        <f>IF('C'!K28="","",ROUND('C'!K28,0))</f>
        <v>-64</v>
      </c>
      <c r="F25" s="80" t="str">
        <f>IF(D!K28="","",ROUND(D!K28,0))</f>
        <v/>
      </c>
      <c r="G25" s="80">
        <f>IF(E!K28="","",ROUND(E!K28,0))</f>
        <v>-91</v>
      </c>
      <c r="H25" s="80" t="str">
        <f>IF(F!K28="","",ROUND(F!K28,0))</f>
        <v/>
      </c>
      <c r="I25" s="80" t="str">
        <f>IF(G!K28="","",ROUND(G!K28,0))</f>
        <v/>
      </c>
      <c r="J25" s="33">
        <f>IF(H!K28="","",ROUND(H!K28,0))</f>
        <v>59</v>
      </c>
      <c r="Q25" s="70">
        <f t="array" ref="Q25">MATCH(P10&amp;P11,Figurings!A:A&amp;Figurings!B:B,0)</f>
        <v>17</v>
      </c>
    </row>
    <row r="26" spans="2:17" x14ac:dyDescent="0.2">
      <c r="C26" s="80">
        <f>IF(A!K29="","",ROUND(A!K29,0))</f>
        <v>3</v>
      </c>
      <c r="D26" s="80">
        <f>IF(B!K29="","",ROUND(B!K29,0))</f>
        <v>-74</v>
      </c>
      <c r="E26" s="80">
        <f>IF('C'!K29="","",ROUND('C'!K29,0))</f>
        <v>-61</v>
      </c>
      <c r="F26" s="80" t="str">
        <f>IF(D!K29="","",ROUND(D!K29,0))</f>
        <v/>
      </c>
      <c r="G26" s="80">
        <f>IF(E!K29="","",ROUND(E!K29,0))</f>
        <v>-79</v>
      </c>
      <c r="H26" s="80" t="str">
        <f>IF(F!K29="","",ROUND(F!K29,0))</f>
        <v/>
      </c>
      <c r="I26" s="80" t="str">
        <f>IF(G!K29="","",ROUND(G!K29,0))</f>
        <v/>
      </c>
      <c r="J26" s="33">
        <f>IF(H!K29="","",ROUND(H!K29,0))</f>
        <v>71</v>
      </c>
      <c r="Q26" s="70"/>
    </row>
    <row r="27" spans="2:17" x14ac:dyDescent="0.2">
      <c r="C27" s="80">
        <f>IF(A!K30="","",ROUND(A!K30,0))</f>
        <v>0</v>
      </c>
      <c r="D27" s="80">
        <f>IF(B!K30="","",ROUND(B!K30,0))</f>
        <v>-80</v>
      </c>
      <c r="E27" s="80">
        <f>IF('C'!K30="","",ROUND('C'!K30,0))</f>
        <v>-69</v>
      </c>
      <c r="F27" s="80" t="str">
        <f>IF(D!K30="","",ROUND(D!K30,0))</f>
        <v/>
      </c>
      <c r="G27" s="80">
        <f>IF(E!K30="","",ROUND(E!K30,0))</f>
        <v>-69</v>
      </c>
      <c r="H27" s="80" t="str">
        <f>IF(F!K30="","",ROUND(F!K30,0))</f>
        <v/>
      </c>
      <c r="I27" s="80" t="str">
        <f>IF(G!K30="","",ROUND(G!K30,0))</f>
        <v/>
      </c>
      <c r="J27" s="33">
        <f>IF(H!K30="","",ROUND(H!K30,0))</f>
        <v>71</v>
      </c>
    </row>
    <row r="28" spans="2:17" x14ac:dyDescent="0.2">
      <c r="C28" s="80">
        <f>IF(A!K31="","",ROUND(A!K31,0))</f>
        <v>-11</v>
      </c>
      <c r="D28" s="80">
        <f>IF(B!K31="","",ROUND(B!K31,0))</f>
        <v>-88</v>
      </c>
      <c r="E28" s="80" t="str">
        <f>IF('C'!K31="","",ROUND('C'!K31,0))</f>
        <v/>
      </c>
      <c r="F28" s="80" t="str">
        <f>IF(D!K31="","",ROUND(D!K31,0))</f>
        <v/>
      </c>
      <c r="G28" s="80" t="str">
        <f>IF(E!K31="","",ROUND(E!K31,0))</f>
        <v/>
      </c>
      <c r="H28" s="80" t="str">
        <f>IF(F!K31="","",ROUND(F!K31,0))</f>
        <v/>
      </c>
      <c r="I28" s="80" t="str">
        <f>IF(G!K31="","",ROUND(G!K31,0))</f>
        <v/>
      </c>
      <c r="J28" s="33" t="str">
        <f>IF(H!K31="","",ROUND(H!K31,0))</f>
        <v/>
      </c>
    </row>
    <row r="29" spans="2:17" x14ac:dyDescent="0.2">
      <c r="C29" s="80">
        <f>IF(A!K32="","",ROUND(A!K32,0))</f>
        <v>-18</v>
      </c>
      <c r="D29" s="80">
        <f>IF(B!K32="","",ROUND(B!K32,0))</f>
        <v>-96</v>
      </c>
      <c r="E29" s="80" t="str">
        <f>IF('C'!K32="","",ROUND('C'!K32,0))</f>
        <v/>
      </c>
      <c r="F29" s="80" t="str">
        <f>IF(D!K32="","",ROUND(D!K32,0))</f>
        <v/>
      </c>
      <c r="G29" s="80" t="str">
        <f>IF(E!K32="","",ROUND(E!K32,0))</f>
        <v/>
      </c>
      <c r="H29" s="80" t="str">
        <f>IF(F!K32="","",ROUND(F!K32,0))</f>
        <v/>
      </c>
      <c r="I29" s="80" t="str">
        <f>IF(G!K32="","",ROUND(G!K32,0))</f>
        <v/>
      </c>
      <c r="J29" s="33" t="str">
        <f>IF(H!K32="","",ROUND(H!K32,0))</f>
        <v/>
      </c>
    </row>
    <row r="30" spans="2:17" x14ac:dyDescent="0.2">
      <c r="C30" s="80">
        <f>IF(A!K33="","",ROUND(A!K33,0))</f>
        <v>-30</v>
      </c>
      <c r="D30" s="80">
        <f>IF(B!K33="","",ROUND(B!K33,0))</f>
        <v>-110</v>
      </c>
      <c r="E30" s="80" t="str">
        <f>IF('C'!K33="","",ROUND('C'!K33,0))</f>
        <v/>
      </c>
      <c r="F30" s="80" t="str">
        <f>IF(D!K33="","",ROUND(D!K33,0))</f>
        <v/>
      </c>
      <c r="G30" s="80" t="str">
        <f>IF(E!K33="","",ROUND(E!K33,0))</f>
        <v/>
      </c>
      <c r="H30" s="80" t="str">
        <f>IF(F!K33="","",ROUND(F!K33,0))</f>
        <v/>
      </c>
      <c r="I30" s="80" t="str">
        <f>IF(G!K33="","",ROUND(G!K33,0))</f>
        <v/>
      </c>
      <c r="J30" s="33" t="str">
        <f>IF(H!K33="","",ROUND(H!K33,0))</f>
        <v/>
      </c>
    </row>
    <row r="31" spans="2:17" x14ac:dyDescent="0.2">
      <c r="C31" s="80">
        <f>IF(A!K34="","",ROUND(A!K34,0))</f>
        <v>-43</v>
      </c>
      <c r="D31" s="80">
        <f>IF(B!K34="","",ROUND(B!K34,0))</f>
        <v>-128</v>
      </c>
      <c r="E31" s="80" t="str">
        <f>IF('C'!K34="","",ROUND('C'!K34,0))</f>
        <v/>
      </c>
      <c r="F31" s="80" t="str">
        <f>IF(D!K34="","",ROUND(D!K34,0))</f>
        <v/>
      </c>
      <c r="G31" s="80" t="str">
        <f>IF(E!K34="","",ROUND(E!K34,0))</f>
        <v/>
      </c>
      <c r="H31" s="80" t="str">
        <f>IF(F!K34="","",ROUND(F!K34,0))</f>
        <v/>
      </c>
      <c r="I31" s="80" t="str">
        <f>IF(G!K34="","",ROUND(G!K34,0))</f>
        <v/>
      </c>
      <c r="J31" s="33" t="str">
        <f>IF(H!K34="","",ROUND(H!K34,0))</f>
        <v/>
      </c>
    </row>
    <row r="32" spans="2:17" x14ac:dyDescent="0.2">
      <c r="C32" s="80">
        <f>IF(A!K35="","",ROUND(A!K35,0))</f>
        <v>-58</v>
      </c>
      <c r="D32" s="80">
        <f>IF(B!K35="","",ROUND(B!K35,0))</f>
        <v>-144</v>
      </c>
      <c r="E32" s="80" t="str">
        <f>IF('C'!K35="","",ROUND('C'!K35,0))</f>
        <v/>
      </c>
      <c r="F32" s="80" t="str">
        <f>IF(D!K35="","",ROUND(D!K35,0))</f>
        <v/>
      </c>
      <c r="G32" s="80" t="str">
        <f>IF(E!K35="","",ROUND(E!K35,0))</f>
        <v/>
      </c>
      <c r="H32" s="80" t="str">
        <f>IF(F!K35="","",ROUND(F!K35,0))</f>
        <v/>
      </c>
      <c r="I32" s="80" t="str">
        <f>IF(G!K35="","",ROUND(G!K35,0))</f>
        <v/>
      </c>
      <c r="J32" s="33" t="str">
        <f>IF(H!K35="","",ROUND(H!K35,0))</f>
        <v/>
      </c>
    </row>
    <row r="33" spans="3:10" x14ac:dyDescent="0.2">
      <c r="C33" s="80">
        <f>IF(A!K36="","",ROUND(A!K36,0))</f>
        <v>-69</v>
      </c>
      <c r="D33" s="80">
        <f>IF(B!K36="","",ROUND(B!K36,0))</f>
        <v>-161</v>
      </c>
      <c r="E33" s="80" t="str">
        <f>IF('C'!K36="","",ROUND('C'!K36,0))</f>
        <v/>
      </c>
      <c r="F33" s="80" t="str">
        <f>IF(D!K36="","",ROUND(D!K36,0))</f>
        <v/>
      </c>
      <c r="G33" s="80" t="str">
        <f>IF(E!K36="","",ROUND(E!K36,0))</f>
        <v/>
      </c>
      <c r="H33" s="80" t="str">
        <f>IF(F!K36="","",ROUND(F!K36,0))</f>
        <v/>
      </c>
      <c r="I33" s="80" t="str">
        <f>IF(G!K36="","",ROUND(G!K36,0))</f>
        <v/>
      </c>
      <c r="J33" s="33" t="str">
        <f>IF(H!K36="","",ROUND(H!K36,0))</f>
        <v/>
      </c>
    </row>
    <row r="34" spans="3:10" x14ac:dyDescent="0.2">
      <c r="C34" s="80" t="str">
        <f>IF(A!K37="","",ROUND(A!K37,0))</f>
        <v/>
      </c>
      <c r="D34" s="80" t="str">
        <f>IF(B!K37="","",ROUND(B!K37,0))</f>
        <v/>
      </c>
      <c r="E34" s="80" t="str">
        <f>IF('C'!K37="","",ROUND('C'!K37,0))</f>
        <v/>
      </c>
      <c r="F34" s="80" t="str">
        <f>IF(D!K37="","",ROUND(D!K37,0))</f>
        <v/>
      </c>
      <c r="G34" s="80" t="str">
        <f>IF(E!K37="","",ROUND(E!K37,0))</f>
        <v/>
      </c>
      <c r="H34" s="80" t="str">
        <f>IF(F!K37="","",ROUND(F!K37,0))</f>
        <v/>
      </c>
      <c r="I34" s="80" t="str">
        <f>IF(G!K37="","",ROUND(G!K37,0))</f>
        <v/>
      </c>
      <c r="J34" s="33" t="str">
        <f>IF(H!K37="","",ROUND(H!K37,0))</f>
        <v/>
      </c>
    </row>
    <row r="35" spans="3:10" x14ac:dyDescent="0.2">
      <c r="C35" s="80" t="str">
        <f>IF(A!K38="","",ROUND(A!K38,0))</f>
        <v/>
      </c>
      <c r="D35" s="80" t="str">
        <f>IF(B!K38="","",ROUND(B!K38,0))</f>
        <v/>
      </c>
      <c r="E35" s="80" t="str">
        <f>IF('C'!K38="","",ROUND('C'!K38,0))</f>
        <v/>
      </c>
      <c r="F35" s="80" t="str">
        <f>IF(D!K38="","",ROUND(D!K38,0))</f>
        <v/>
      </c>
      <c r="G35" s="80" t="str">
        <f>IF(E!K38="","",ROUND(E!K38,0))</f>
        <v/>
      </c>
      <c r="H35" s="80" t="str">
        <f>IF(F!K38="","",ROUND(F!K38,0))</f>
        <v/>
      </c>
      <c r="I35" s="80" t="str">
        <f>IF(G!K38="","",ROUND(G!K38,0))</f>
        <v/>
      </c>
      <c r="J35" s="33" t="str">
        <f>IF(H!K38="","",ROUND(H!K38,0))</f>
        <v/>
      </c>
    </row>
    <row r="36" spans="3:10" x14ac:dyDescent="0.2">
      <c r="C36" s="80" t="str">
        <f>IF(A!K39="","",ROUND(A!K39,0))</f>
        <v/>
      </c>
      <c r="D36" s="80" t="str">
        <f>IF(B!K39="","",ROUND(B!K39,0))</f>
        <v/>
      </c>
      <c r="E36" s="80" t="str">
        <f>IF('C'!K39="","",ROUND('C'!K39,0))</f>
        <v/>
      </c>
      <c r="F36" s="80" t="str">
        <f>IF(D!K39="","",ROUND(D!K39,0))</f>
        <v/>
      </c>
      <c r="G36" s="80" t="str">
        <f>IF(E!K39="","",ROUND(E!K39,0))</f>
        <v/>
      </c>
      <c r="H36" s="80" t="str">
        <f>IF(F!K39="","",ROUND(F!K39,0))</f>
        <v/>
      </c>
      <c r="I36" s="80" t="str">
        <f>IF(G!K39="","",ROUND(G!K39,0))</f>
        <v/>
      </c>
      <c r="J36" s="33" t="str">
        <f>IF(H!K39="","",ROUND(H!K39,0))</f>
        <v/>
      </c>
    </row>
    <row r="37" spans="3:10" x14ac:dyDescent="0.2">
      <c r="C37" s="80" t="str">
        <f>IF(A!K40="","",ROUND(A!K40,0))</f>
        <v/>
      </c>
      <c r="D37" s="80" t="str">
        <f>IF(B!K40="","",ROUND(B!K40,0))</f>
        <v/>
      </c>
      <c r="E37" s="80" t="str">
        <f>IF('C'!K40="","",ROUND('C'!K40,0))</f>
        <v/>
      </c>
      <c r="F37" s="80" t="str">
        <f>IF(D!K40="","",ROUND(D!K40,0))</f>
        <v/>
      </c>
      <c r="G37" s="80" t="str">
        <f>IF(E!K40="","",ROUND(E!K40,0))</f>
        <v/>
      </c>
      <c r="H37" s="80" t="str">
        <f>IF(F!K40="","",ROUND(F!K40,0))</f>
        <v/>
      </c>
      <c r="I37" s="80" t="str">
        <f>IF(G!K40="","",ROUND(G!K40,0))</f>
        <v/>
      </c>
      <c r="J37" s="33" t="str">
        <f>IF(H!K40="","",ROUND(H!K40,0))</f>
        <v/>
      </c>
    </row>
    <row r="38" spans="3:10" x14ac:dyDescent="0.2">
      <c r="C38" s="80" t="str">
        <f>IF(A!K41="","",ROUND(A!K41,0))</f>
        <v/>
      </c>
      <c r="D38" s="80" t="str">
        <f>IF(B!K41="","",ROUND(B!K41,0))</f>
        <v/>
      </c>
      <c r="E38" s="80" t="str">
        <f>IF('C'!K41="","",ROUND('C'!K41,0))</f>
        <v/>
      </c>
      <c r="F38" s="80" t="str">
        <f>IF(D!K41="","",ROUND(D!K41,0))</f>
        <v/>
      </c>
      <c r="G38" s="80" t="str">
        <f>IF(E!K41="","",ROUND(E!K41,0))</f>
        <v/>
      </c>
      <c r="H38" s="80" t="str">
        <f>IF(F!K41="","",ROUND(F!K41,0))</f>
        <v/>
      </c>
      <c r="I38" s="80" t="str">
        <f>IF(G!K41="","",ROUND(G!K41,0))</f>
        <v/>
      </c>
      <c r="J38" s="33" t="str">
        <f>IF(H!K41="","",ROUND(H!K41,0))</f>
        <v/>
      </c>
    </row>
    <row r="39" spans="3:10" x14ac:dyDescent="0.2">
      <c r="C39" s="80" t="str">
        <f>IF(A!K42="","",ROUND(A!K42,0))</f>
        <v/>
      </c>
      <c r="D39" s="80" t="str">
        <f>IF(B!K42="","",ROUND(B!K42,0))</f>
        <v/>
      </c>
      <c r="E39" s="80" t="str">
        <f>IF('C'!K42="","",ROUND('C'!K42,0))</f>
        <v/>
      </c>
      <c r="F39" s="80" t="str">
        <f>IF(D!K42="","",ROUND(D!K42,0))</f>
        <v/>
      </c>
      <c r="G39" s="80" t="str">
        <f>IF(E!K42="","",ROUND(E!K42,0))</f>
        <v/>
      </c>
      <c r="H39" s="80" t="str">
        <f>IF(F!K42="","",ROUND(F!K42,0))</f>
        <v/>
      </c>
      <c r="I39" s="80" t="str">
        <f>IF(G!K42="","",ROUND(G!K42,0))</f>
        <v/>
      </c>
      <c r="J39" s="33" t="str">
        <f>IF(H!K42="","",ROUND(H!K42,0))</f>
        <v/>
      </c>
    </row>
    <row r="40" spans="3:10" x14ac:dyDescent="0.2">
      <c r="C40" s="80" t="str">
        <f>IF(A!K43="","",ROUND(A!K43,0))</f>
        <v/>
      </c>
      <c r="D40" s="80" t="str">
        <f>IF(B!K43="","",ROUND(B!K43,0))</f>
        <v/>
      </c>
      <c r="E40" s="80" t="str">
        <f>IF('C'!K43="","",ROUND('C'!K43,0))</f>
        <v/>
      </c>
      <c r="F40" s="80" t="str">
        <f>IF(D!K43="","",ROUND(D!K43,0))</f>
        <v/>
      </c>
      <c r="G40" s="80" t="str">
        <f>IF(E!K43="","",ROUND(E!K43,0))</f>
        <v/>
      </c>
      <c r="H40" s="80" t="str">
        <f>IF(F!K43="","",ROUND(F!K43,0))</f>
        <v/>
      </c>
      <c r="I40" s="80" t="str">
        <f>IF(G!K43="","",ROUND(G!K43,0))</f>
        <v/>
      </c>
      <c r="J40" s="33" t="str">
        <f>IF(H!K43="","",ROUND(H!K43,0))</f>
        <v/>
      </c>
    </row>
    <row r="41" spans="3:10" x14ac:dyDescent="0.2">
      <c r="C41" s="80" t="str">
        <f>IF(A!K44="","",ROUND(A!K44,0))</f>
        <v/>
      </c>
      <c r="D41" s="80" t="str">
        <f>IF(B!K44="","",ROUND(B!K44,0))</f>
        <v/>
      </c>
      <c r="E41" s="80" t="str">
        <f>IF('C'!K44="","",ROUND('C'!K44,0))</f>
        <v/>
      </c>
      <c r="F41" s="80" t="str">
        <f>IF(D!K44="","",ROUND(D!K44,0))</f>
        <v/>
      </c>
      <c r="G41" s="80" t="str">
        <f>IF(E!K44="","",ROUND(E!K44,0))</f>
        <v/>
      </c>
      <c r="H41" s="80" t="str">
        <f>IF(F!K44="","",ROUND(F!K44,0))</f>
        <v/>
      </c>
      <c r="I41" s="80" t="str">
        <f>IF(G!K44="","",ROUND(G!K44,0))</f>
        <v/>
      </c>
      <c r="J41" s="33" t="str">
        <f>IF(H!K44="","",ROUND(H!K44,0))</f>
        <v/>
      </c>
    </row>
    <row r="42" spans="3:10" x14ac:dyDescent="0.2">
      <c r="C42" s="80" t="str">
        <f>IF(A!K45="","",ROUND(A!K45,0))</f>
        <v/>
      </c>
      <c r="D42" s="80" t="str">
        <f>IF(B!K45="","",ROUND(B!K45,0))</f>
        <v/>
      </c>
      <c r="E42" s="80" t="str">
        <f>IF('C'!K45="","",ROUND('C'!K45,0))</f>
        <v/>
      </c>
      <c r="F42" s="80" t="str">
        <f>IF(D!K45="","",ROUND(D!K45,0))</f>
        <v/>
      </c>
      <c r="G42" s="80" t="str">
        <f>IF(E!K45="","",ROUND(E!K45,0))</f>
        <v/>
      </c>
      <c r="H42" s="80" t="str">
        <f>IF(F!K45="","",ROUND(F!K45,0))</f>
        <v/>
      </c>
      <c r="I42" s="80" t="str">
        <f>IF(G!K45="","",ROUND(G!K45,0))</f>
        <v/>
      </c>
      <c r="J42" s="33" t="str">
        <f>IF(H!K45="","",ROUND(H!K45,0))</f>
        <v/>
      </c>
    </row>
    <row r="43" spans="3:10" x14ac:dyDescent="0.2">
      <c r="C43" s="80" t="str">
        <f>IF(A!K46="","",ROUND(A!K46,0))</f>
        <v/>
      </c>
      <c r="D43" s="80" t="str">
        <f>IF(B!K46="","",ROUND(B!K46,0))</f>
        <v/>
      </c>
      <c r="E43" s="80" t="str">
        <f>IF('C'!K46="","",ROUND('C'!K46,0))</f>
        <v/>
      </c>
      <c r="F43" s="80" t="str">
        <f>IF(D!K46="","",ROUND(D!K46,0))</f>
        <v/>
      </c>
      <c r="G43" s="80" t="str">
        <f>IF(E!K46="","",ROUND(E!K46,0))</f>
        <v/>
      </c>
      <c r="H43" s="80" t="str">
        <f>IF(F!K46="","",ROUND(F!K46,0))</f>
        <v/>
      </c>
      <c r="I43" s="80" t="str">
        <f>IF(G!K46="","",ROUND(G!K46,0))</f>
        <v/>
      </c>
      <c r="J43" s="33" t="str">
        <f>IF(H!K46="","",ROUND(H!K46,0))</f>
        <v/>
      </c>
    </row>
    <row r="44" spans="3:10" x14ac:dyDescent="0.2">
      <c r="C44" s="80" t="str">
        <f>IF(A!K47="","",ROUND(A!K47,0))</f>
        <v/>
      </c>
      <c r="D44" s="80" t="str">
        <f>IF(B!K47="","",ROUND(B!K47,0))</f>
        <v/>
      </c>
      <c r="E44" s="80" t="str">
        <f>IF('C'!K47="","",ROUND('C'!K47,0))</f>
        <v/>
      </c>
      <c r="F44" s="80" t="str">
        <f>IF(D!K47="","",ROUND(D!K47,0))</f>
        <v/>
      </c>
      <c r="G44" s="80" t="str">
        <f>IF(E!K47="","",ROUND(E!K47,0))</f>
        <v/>
      </c>
      <c r="H44" s="80" t="str">
        <f>IF(F!K47="","",ROUND(F!K47,0))</f>
        <v/>
      </c>
      <c r="I44" s="80" t="str">
        <f>IF(G!K47="","",ROUND(G!K47,0))</f>
        <v/>
      </c>
      <c r="J44" s="33" t="str">
        <f>IF(H!K47="","",ROUND(H!K47,0))</f>
        <v/>
      </c>
    </row>
    <row r="45" spans="3:10" x14ac:dyDescent="0.2">
      <c r="C45" s="80" t="str">
        <f>IF(A!K48="","",ROUND(A!K48,0))</f>
        <v/>
      </c>
      <c r="D45" s="80" t="str">
        <f>IF(B!K48="","",ROUND(B!K48,0))</f>
        <v/>
      </c>
      <c r="E45" s="80" t="str">
        <f>IF('C'!K48="","",ROUND('C'!K48,0))</f>
        <v/>
      </c>
      <c r="F45" s="80" t="str">
        <f>IF(D!K48="","",ROUND(D!K48,0))</f>
        <v/>
      </c>
      <c r="G45" s="80" t="str">
        <f>IF(E!K48="","",ROUND(E!K48,0))</f>
        <v/>
      </c>
      <c r="H45" s="80" t="str">
        <f>IF(F!K48="","",ROUND(F!K48,0))</f>
        <v/>
      </c>
      <c r="I45" s="80" t="str">
        <f>IF(G!K48="","",ROUND(G!K48,0))</f>
        <v/>
      </c>
      <c r="J45" s="33" t="str">
        <f>IF(H!K48="","",ROUND(H!K48,0))</f>
        <v/>
      </c>
    </row>
    <row r="46" spans="3:10" x14ac:dyDescent="0.2">
      <c r="C46" s="80" t="str">
        <f>IF(A!K49="","",ROUND(A!K49,0))</f>
        <v/>
      </c>
      <c r="D46" s="80" t="str">
        <f>IF(B!K49="","",ROUND(B!K49,0))</f>
        <v/>
      </c>
      <c r="E46" s="80" t="str">
        <f>IF('C'!K49="","",ROUND('C'!K49,0))</f>
        <v/>
      </c>
      <c r="F46" s="80" t="str">
        <f>IF(D!K49="","",ROUND(D!K49,0))</f>
        <v/>
      </c>
      <c r="G46" s="80" t="str">
        <f>IF(E!K49="","",ROUND(E!K49,0))</f>
        <v/>
      </c>
      <c r="H46" s="80" t="str">
        <f>IF(F!K49="","",ROUND(F!K49,0))</f>
        <v/>
      </c>
      <c r="I46" s="80" t="str">
        <f>IF(G!K49="","",ROUND(G!K49,0))</f>
        <v/>
      </c>
      <c r="J46" s="33" t="str">
        <f>IF(H!K49="","",ROUND(H!K49,0))</f>
        <v/>
      </c>
    </row>
    <row r="47" spans="3:10" x14ac:dyDescent="0.2">
      <c r="C47" s="80" t="str">
        <f>IF(A!K50="","",ROUND(A!K50,0))</f>
        <v/>
      </c>
      <c r="D47" s="80" t="str">
        <f>IF(B!K50="","",ROUND(B!K50,0))</f>
        <v/>
      </c>
      <c r="E47" s="80" t="str">
        <f>IF('C'!K50="","",ROUND('C'!K50,0))</f>
        <v/>
      </c>
      <c r="F47" s="80" t="str">
        <f>IF(D!K50="","",ROUND(D!K50,0))</f>
        <v/>
      </c>
      <c r="G47" s="80" t="str">
        <f>IF(E!K50="","",ROUND(E!K50,0))</f>
        <v/>
      </c>
      <c r="H47" s="80" t="str">
        <f>IF(F!K50="","",ROUND(F!K50,0))</f>
        <v/>
      </c>
      <c r="I47" s="80" t="str">
        <f>IF(G!K50="","",ROUND(G!K50,0))</f>
        <v/>
      </c>
      <c r="J47" s="33" t="str">
        <f>IF(H!K50="","",ROUND(H!K50,0))</f>
        <v/>
      </c>
    </row>
    <row r="48" spans="3:10" x14ac:dyDescent="0.2">
      <c r="C48" s="80" t="str">
        <f>IF(A!K51="","",ROUND(A!K51,0))</f>
        <v/>
      </c>
      <c r="D48" s="80" t="str">
        <f>IF(B!K51="","",ROUND(B!K51,0))</f>
        <v/>
      </c>
      <c r="E48" s="80" t="str">
        <f>IF('C'!K51="","",ROUND('C'!K51,0))</f>
        <v/>
      </c>
      <c r="F48" s="80" t="str">
        <f>IF(D!K51="","",ROUND(D!K51,0))</f>
        <v/>
      </c>
      <c r="G48" s="80" t="str">
        <f>IF(E!K51="","",ROUND(E!K51,0))</f>
        <v/>
      </c>
      <c r="H48" s="80" t="str">
        <f>IF(F!K51="","",ROUND(F!K51,0))</f>
        <v/>
      </c>
      <c r="I48" s="80" t="str">
        <f>IF(G!K51="","",ROUND(G!K51,0))</f>
        <v/>
      </c>
      <c r="J48" s="33" t="str">
        <f>IF(H!K51="","",ROUND(H!K51,0))</f>
        <v/>
      </c>
    </row>
    <row r="49" spans="3:10" x14ac:dyDescent="0.2">
      <c r="C49" s="80" t="str">
        <f>IF(A!K52="","",ROUND(A!K52,0))</f>
        <v/>
      </c>
      <c r="D49" s="80" t="str">
        <f>IF(B!K52="","",ROUND(B!K52,0))</f>
        <v/>
      </c>
      <c r="E49" s="80" t="str">
        <f>IF('C'!K52="","",ROUND('C'!K52,0))</f>
        <v/>
      </c>
      <c r="F49" s="80" t="str">
        <f>IF(D!K52="","",ROUND(D!K52,0))</f>
        <v/>
      </c>
      <c r="G49" s="80" t="str">
        <f>IF(E!K52="","",ROUND(E!K52,0))</f>
        <v/>
      </c>
      <c r="H49" s="80" t="str">
        <f>IF(F!K52="","",ROUND(F!K52,0))</f>
        <v/>
      </c>
      <c r="I49" s="80" t="str">
        <f>IF(G!K52="","",ROUND(G!K52,0))</f>
        <v/>
      </c>
      <c r="J49" s="33" t="str">
        <f>IF(H!K52="","",ROUND(H!K52,0))</f>
        <v/>
      </c>
    </row>
    <row r="50" spans="3:10" x14ac:dyDescent="0.2">
      <c r="C50" s="80" t="str">
        <f>IF(A!K53="","",ROUND(A!K53,0))</f>
        <v/>
      </c>
      <c r="D50" s="80" t="str">
        <f>IF(B!K53="","",ROUND(B!K53,0))</f>
        <v/>
      </c>
      <c r="E50" s="80" t="str">
        <f>IF('C'!K53="","",ROUND('C'!K53,0))</f>
        <v/>
      </c>
      <c r="F50" s="80" t="str">
        <f>IF(D!K53="","",ROUND(D!K53,0))</f>
        <v/>
      </c>
      <c r="G50" s="80" t="str">
        <f>IF(E!K53="","",ROUND(E!K53,0))</f>
        <v/>
      </c>
      <c r="H50" s="80" t="str">
        <f>IF(F!K53="","",ROUND(F!K53,0))</f>
        <v/>
      </c>
      <c r="I50" s="80" t="str">
        <f>IF(G!K53="","",ROUND(G!K53,0))</f>
        <v/>
      </c>
      <c r="J50" s="33" t="str">
        <f>IF(H!K53="","",ROUND(H!K53,0))</f>
        <v/>
      </c>
    </row>
    <row r="51" spans="3:10" x14ac:dyDescent="0.2">
      <c r="C51" s="80" t="str">
        <f>IF(A!K54="","",ROUND(A!K54,0))</f>
        <v/>
      </c>
      <c r="D51" s="80" t="str">
        <f>IF(B!K54="","",ROUND(B!K54,0))</f>
        <v/>
      </c>
      <c r="E51" s="80" t="str">
        <f>IF('C'!K54="","",ROUND('C'!K54,0))</f>
        <v/>
      </c>
      <c r="F51" s="80" t="str">
        <f>IF(D!K54="","",ROUND(D!K54,0))</f>
        <v/>
      </c>
      <c r="G51" s="80" t="str">
        <f>IF(E!K54="","",ROUND(E!K54,0))</f>
        <v/>
      </c>
      <c r="H51" s="80" t="str">
        <f>IF(F!K54="","",ROUND(F!K54,0))</f>
        <v/>
      </c>
      <c r="I51" s="80" t="str">
        <f>IF(G!K54="","",ROUND(G!K54,0))</f>
        <v/>
      </c>
      <c r="J51" s="33" t="str">
        <f>IF(H!K54="","",ROUND(H!K54,0))</f>
        <v/>
      </c>
    </row>
    <row r="52" spans="3:10" x14ac:dyDescent="0.2">
      <c r="C52" s="80" t="str">
        <f>IF(A!K55="","",ROUND(A!K55,0))</f>
        <v/>
      </c>
      <c r="D52" s="80" t="str">
        <f>IF(B!K55="","",ROUND(B!K55,0))</f>
        <v/>
      </c>
      <c r="E52" s="80" t="str">
        <f>IF('C'!K55="","",ROUND('C'!K55,0))</f>
        <v/>
      </c>
      <c r="F52" s="80" t="str">
        <f>IF(D!K55="","",ROUND(D!K55,0))</f>
        <v/>
      </c>
      <c r="G52" s="80" t="str">
        <f>IF(E!K55="","",ROUND(E!K55,0))</f>
        <v/>
      </c>
      <c r="H52" s="80" t="str">
        <f>IF(F!K55="","",ROUND(F!K55,0))</f>
        <v/>
      </c>
      <c r="I52" s="80" t="str">
        <f>IF(G!K55="","",ROUND(G!K55,0))</f>
        <v/>
      </c>
      <c r="J52" s="33" t="str">
        <f>IF(H!K55="","",ROUND(H!K55,0))</f>
        <v/>
      </c>
    </row>
    <row r="53" spans="3:10" x14ac:dyDescent="0.2">
      <c r="C53" s="80" t="str">
        <f>IF(A!K56="","",ROUND(A!K56,0))</f>
        <v/>
      </c>
      <c r="D53" s="80" t="str">
        <f>IF(B!K56="","",ROUND(B!K56,0))</f>
        <v/>
      </c>
      <c r="E53" s="80" t="str">
        <f>IF('C'!K56="","",ROUND('C'!K56,0))</f>
        <v/>
      </c>
      <c r="F53" s="80" t="str">
        <f>IF(D!K56="","",ROUND(D!K56,0))</f>
        <v/>
      </c>
      <c r="G53" s="80" t="str">
        <f>IF(E!K56="","",ROUND(E!K56,0))</f>
        <v/>
      </c>
      <c r="H53" s="80" t="str">
        <f>IF(F!K56="","",ROUND(F!K56,0))</f>
        <v/>
      </c>
      <c r="I53" s="80" t="str">
        <f>IF(G!K56="","",ROUND(G!K56,0))</f>
        <v/>
      </c>
      <c r="J53" s="33" t="str">
        <f>IF(H!K56="","",ROUND(H!K56,0))</f>
        <v/>
      </c>
    </row>
    <row r="54" spans="3:10" x14ac:dyDescent="0.2">
      <c r="C54" s="80" t="str">
        <f>IF(A!K57="","",ROUND(A!K57,0))</f>
        <v/>
      </c>
      <c r="D54" s="80" t="str">
        <f>IF(B!K57="","",ROUND(B!K57,0))</f>
        <v/>
      </c>
      <c r="E54" s="80" t="str">
        <f>IF('C'!K57="","",ROUND('C'!K57,0))</f>
        <v/>
      </c>
      <c r="F54" s="80" t="str">
        <f>IF(D!K57="","",ROUND(D!K57,0))</f>
        <v/>
      </c>
      <c r="G54" s="80" t="str">
        <f>IF(E!K57="","",ROUND(E!K57,0))</f>
        <v/>
      </c>
      <c r="H54" s="80" t="str">
        <f>IF(F!K57="","",ROUND(F!K57,0))</f>
        <v/>
      </c>
      <c r="I54" s="80" t="str">
        <f>IF(G!K57="","",ROUND(G!K57,0))</f>
        <v/>
      </c>
      <c r="J54" s="33" t="str">
        <f>IF(H!K57="","",ROUND(H!K57,0))</f>
        <v/>
      </c>
    </row>
    <row r="55" spans="3:10" x14ac:dyDescent="0.2">
      <c r="C55" s="80" t="str">
        <f>IF(A!K58="","",ROUND(A!K58,0))</f>
        <v/>
      </c>
      <c r="D55" s="80" t="str">
        <f>IF(B!K58="","",ROUND(B!K58,0))</f>
        <v/>
      </c>
      <c r="E55" s="80" t="str">
        <f>IF('C'!K58="","",ROUND('C'!K58,0))</f>
        <v/>
      </c>
      <c r="F55" s="80" t="str">
        <f>IF(D!K58="","",ROUND(D!K58,0))</f>
        <v/>
      </c>
      <c r="G55" s="80" t="str">
        <f>IF(E!K58="","",ROUND(E!K58,0))</f>
        <v/>
      </c>
      <c r="H55" s="80" t="str">
        <f>IF(F!K58="","",ROUND(F!K58,0))</f>
        <v/>
      </c>
      <c r="I55" s="80" t="str">
        <f>IF(G!K58="","",ROUND(G!K58,0))</f>
        <v/>
      </c>
      <c r="J55" s="33" t="str">
        <f>IF(H!K58="","",ROUND(H!K58,0))</f>
        <v/>
      </c>
    </row>
    <row r="56" spans="3:10" x14ac:dyDescent="0.2">
      <c r="C56" s="80" t="str">
        <f>IF(A!K59="","",ROUND(A!K59,0))</f>
        <v/>
      </c>
      <c r="D56" s="80" t="str">
        <f>IF(B!K59="","",ROUND(B!K59,0))</f>
        <v/>
      </c>
      <c r="E56" s="80" t="str">
        <f>IF('C'!K59="","",ROUND('C'!K59,0))</f>
        <v/>
      </c>
      <c r="F56" s="80" t="str">
        <f>IF(D!K59="","",ROUND(D!K59,0))</f>
        <v/>
      </c>
      <c r="G56" s="80" t="str">
        <f>IF(E!K59="","",ROUND(E!K59,0))</f>
        <v/>
      </c>
      <c r="H56" s="80" t="str">
        <f>IF(F!K59="","",ROUND(F!K59,0))</f>
        <v/>
      </c>
      <c r="I56" s="80" t="str">
        <f>IF(G!K59="","",ROUND(G!K59,0))</f>
        <v/>
      </c>
      <c r="J56" s="33" t="str">
        <f>IF(H!K59="","",ROUND(H!K59,0))</f>
        <v/>
      </c>
    </row>
    <row r="57" spans="3:10" x14ac:dyDescent="0.2">
      <c r="C57" s="80" t="str">
        <f>IF(A!K60="","",ROUND(A!K60,0))</f>
        <v/>
      </c>
      <c r="D57" s="80" t="str">
        <f>IF(B!K60="","",ROUND(B!K60,0))</f>
        <v/>
      </c>
      <c r="E57" s="80" t="str">
        <f>IF('C'!K60="","",ROUND('C'!K60,0))</f>
        <v/>
      </c>
      <c r="F57" s="80" t="str">
        <f>IF(D!K60="","",ROUND(D!K60,0))</f>
        <v/>
      </c>
      <c r="G57" s="80" t="str">
        <f>IF(E!K60="","",ROUND(E!K60,0))</f>
        <v/>
      </c>
      <c r="H57" s="80" t="str">
        <f>IF(F!K60="","",ROUND(F!K60,0))</f>
        <v/>
      </c>
      <c r="I57" s="80" t="str">
        <f>IF(G!K60="","",ROUND(G!K60,0))</f>
        <v/>
      </c>
      <c r="J57" s="33" t="str">
        <f>IF(H!K60="","",ROUND(H!K60,0))</f>
        <v/>
      </c>
    </row>
    <row r="58" spans="3:10" x14ac:dyDescent="0.2">
      <c r="C58" s="80" t="str">
        <f>IF(A!K61="","",ROUND(A!K61,0))</f>
        <v/>
      </c>
      <c r="D58" s="80" t="str">
        <f>IF(B!K61="","",ROUND(B!K61,0))</f>
        <v/>
      </c>
      <c r="E58" s="80" t="str">
        <f>IF('C'!K61="","",ROUND('C'!K61,0))</f>
        <v/>
      </c>
      <c r="F58" s="80" t="str">
        <f>IF(D!K61="","",ROUND(D!K61,0))</f>
        <v/>
      </c>
      <c r="G58" s="80" t="str">
        <f>IF(E!K61="","",ROUND(E!K61,0))</f>
        <v/>
      </c>
      <c r="H58" s="80" t="str">
        <f>IF(F!K61="","",ROUND(F!K61,0))</f>
        <v/>
      </c>
      <c r="I58" s="80" t="str">
        <f>IF(G!K61="","",ROUND(G!K61,0))</f>
        <v/>
      </c>
      <c r="J58" s="33" t="str">
        <f>IF(H!K61="","",ROUND(H!K61,0))</f>
        <v/>
      </c>
    </row>
    <row r="59" spans="3:10" x14ac:dyDescent="0.2">
      <c r="C59" s="80" t="str">
        <f>IF(A!K62="","",ROUND(A!K62,0))</f>
        <v/>
      </c>
      <c r="D59" s="80" t="str">
        <f>IF(B!K62="","",ROUND(B!K62,0))</f>
        <v/>
      </c>
      <c r="E59" s="80" t="str">
        <f>IF('C'!K62="","",ROUND('C'!K62,0))</f>
        <v/>
      </c>
      <c r="F59" s="80" t="str">
        <f>IF(D!K62="","",ROUND(D!K62,0))</f>
        <v/>
      </c>
      <c r="G59" s="80" t="str">
        <f>IF(E!K62="","",ROUND(E!K62,0))</f>
        <v/>
      </c>
      <c r="H59" s="80" t="str">
        <f>IF(F!K62="","",ROUND(F!K62,0))</f>
        <v/>
      </c>
      <c r="I59" s="80" t="str">
        <f>IF(G!K62="","",ROUND(G!K62,0))</f>
        <v/>
      </c>
      <c r="J59" s="33" t="str">
        <f>IF(H!K62="","",ROUND(H!K62,0))</f>
        <v/>
      </c>
    </row>
    <row r="60" spans="3:10" x14ac:dyDescent="0.2">
      <c r="C60" s="80" t="str">
        <f>IF(A!K63="","",ROUND(A!K63,0))</f>
        <v/>
      </c>
      <c r="D60" s="80" t="str">
        <f>IF(B!K63="","",ROUND(B!K63,0))</f>
        <v/>
      </c>
      <c r="E60" s="80" t="str">
        <f>IF('C'!K63="","",ROUND('C'!K63,0))</f>
        <v/>
      </c>
      <c r="F60" s="80" t="str">
        <f>IF(D!K63="","",ROUND(D!K63,0))</f>
        <v/>
      </c>
      <c r="G60" s="80" t="str">
        <f>IF(E!K63="","",ROUND(E!K63,0))</f>
        <v/>
      </c>
      <c r="H60" s="80" t="str">
        <f>IF(F!K63="","",ROUND(F!K63,0))</f>
        <v/>
      </c>
      <c r="I60" s="80" t="str">
        <f>IF(G!K63="","",ROUND(G!K63,0))</f>
        <v/>
      </c>
      <c r="J60" s="33" t="str">
        <f>IF(H!K63="","",ROUND(H!K63,0))</f>
        <v/>
      </c>
    </row>
    <row r="61" spans="3:10" x14ac:dyDescent="0.2">
      <c r="C61" s="80" t="str">
        <f>IF(A!K64="","",ROUND(A!K64,0))</f>
        <v/>
      </c>
      <c r="D61" s="80" t="str">
        <f>IF(B!K64="","",ROUND(B!K64,0))</f>
        <v/>
      </c>
      <c r="E61" s="80" t="str">
        <f>IF('C'!K64="","",ROUND('C'!K64,0))</f>
        <v/>
      </c>
      <c r="F61" s="80" t="str">
        <f>IF(D!K64="","",ROUND(D!K64,0))</f>
        <v/>
      </c>
      <c r="G61" s="80" t="str">
        <f>IF(E!K64="","",ROUND(E!K64,0))</f>
        <v/>
      </c>
      <c r="H61" s="80" t="str">
        <f>IF(F!K64="","",ROUND(F!K64,0))</f>
        <v/>
      </c>
      <c r="I61" s="80" t="str">
        <f>IF(G!K64="","",ROUND(G!K64,0))</f>
        <v/>
      </c>
      <c r="J61" s="33" t="str">
        <f>IF(H!K64="","",ROUND(H!K64,0))</f>
        <v/>
      </c>
    </row>
    <row r="62" spans="3:10" x14ac:dyDescent="0.2">
      <c r="C62" s="80" t="str">
        <f>IF(A!K65="","",ROUND(A!K65,0))</f>
        <v/>
      </c>
      <c r="D62" s="80" t="str">
        <f>IF(B!K65="","",ROUND(B!K65,0))</f>
        <v/>
      </c>
      <c r="E62" s="80" t="str">
        <f>IF('C'!K65="","",ROUND('C'!K65,0))</f>
        <v/>
      </c>
      <c r="F62" s="80" t="str">
        <f>IF(D!K65="","",ROUND(D!K65,0))</f>
        <v/>
      </c>
      <c r="G62" s="80" t="str">
        <f>IF(E!K65="","",ROUND(E!K65,0))</f>
        <v/>
      </c>
      <c r="H62" s="80" t="str">
        <f>IF(F!K65="","",ROUND(F!K65,0))</f>
        <v/>
      </c>
      <c r="I62" s="80" t="str">
        <f>IF(G!K65="","",ROUND(G!K65,0))</f>
        <v/>
      </c>
      <c r="J62" s="33" t="str">
        <f>IF(H!K65="","",ROUND(H!K65,0))</f>
        <v/>
      </c>
    </row>
    <row r="63" spans="3:10" x14ac:dyDescent="0.2">
      <c r="C63" s="80" t="str">
        <f>IF(A!K66="","",ROUND(A!K66,0))</f>
        <v/>
      </c>
      <c r="D63" s="80" t="str">
        <f>IF(B!K66="","",ROUND(B!K66,0))</f>
        <v/>
      </c>
      <c r="E63" s="80" t="str">
        <f>IF('C'!K66="","",ROUND('C'!K66,0))</f>
        <v/>
      </c>
      <c r="F63" s="80" t="str">
        <f>IF(D!K66="","",ROUND(D!K66,0))</f>
        <v/>
      </c>
      <c r="G63" s="80" t="str">
        <f>IF(E!K66="","",ROUND(E!K66,0))</f>
        <v/>
      </c>
      <c r="H63" s="80" t="str">
        <f>IF(F!K66="","",ROUND(F!K66,0))</f>
        <v/>
      </c>
      <c r="I63" s="80" t="str">
        <f>IF(G!K66="","",ROUND(G!K66,0))</f>
        <v/>
      </c>
      <c r="J63" s="33" t="str">
        <f>IF(H!K66="","",ROUND(H!K66,0))</f>
        <v/>
      </c>
    </row>
    <row r="64" spans="3:10" x14ac:dyDescent="0.2">
      <c r="C64" s="80" t="str">
        <f>IF(A!K67="","",ROUND(A!K67,0))</f>
        <v/>
      </c>
      <c r="D64" s="80" t="str">
        <f>IF(B!K67="","",ROUND(B!K67,0))</f>
        <v/>
      </c>
      <c r="E64" s="80" t="str">
        <f>IF('C'!K67="","",ROUND('C'!K67,0))</f>
        <v/>
      </c>
      <c r="F64" s="80" t="str">
        <f>IF(D!K67="","",ROUND(D!K67,0))</f>
        <v/>
      </c>
      <c r="G64" s="80" t="str">
        <f>IF(E!K67="","",ROUND(E!K67,0))</f>
        <v/>
      </c>
      <c r="H64" s="80" t="str">
        <f>IF(F!K67="","",ROUND(F!K67,0))</f>
        <v/>
      </c>
      <c r="I64" s="80" t="str">
        <f>IF(G!K67="","",ROUND(G!K67,0))</f>
        <v/>
      </c>
      <c r="J64" s="33" t="str">
        <f>IF(H!K67="","",ROUND(H!K67,0))</f>
        <v/>
      </c>
    </row>
    <row r="65" spans="3:10" x14ac:dyDescent="0.2">
      <c r="C65" s="80" t="str">
        <f>IF(A!K68="","",ROUND(A!K68,0))</f>
        <v/>
      </c>
      <c r="D65" s="80" t="str">
        <f>IF(B!K68="","",ROUND(B!K68,0))</f>
        <v/>
      </c>
      <c r="E65" s="80" t="str">
        <f>IF('C'!K68="","",ROUND('C'!K68,0))</f>
        <v/>
      </c>
      <c r="F65" s="80" t="str">
        <f>IF(D!K68="","",ROUND(D!K68,0))</f>
        <v/>
      </c>
      <c r="G65" s="80" t="str">
        <f>IF(E!K68="","",ROUND(E!K68,0))</f>
        <v/>
      </c>
      <c r="H65" s="80" t="str">
        <f>IF(F!K68="","",ROUND(F!K68,0))</f>
        <v/>
      </c>
      <c r="I65" s="80" t="str">
        <f>IF(G!K68="","",ROUND(G!K68,0))</f>
        <v/>
      </c>
      <c r="J65" s="33" t="str">
        <f>IF(H!K68="","",ROUND(H!K68,0))</f>
        <v/>
      </c>
    </row>
    <row r="66" spans="3:10" x14ac:dyDescent="0.2">
      <c r="C66" s="80" t="str">
        <f>IF(A!K69="","",ROUND(A!K69,0))</f>
        <v/>
      </c>
      <c r="D66" s="80" t="str">
        <f>IF(B!K69="","",ROUND(B!K69,0))</f>
        <v/>
      </c>
      <c r="E66" s="80" t="str">
        <f>IF('C'!K69="","",ROUND('C'!K69,0))</f>
        <v/>
      </c>
      <c r="F66" s="80" t="str">
        <f>IF(D!K69="","",ROUND(D!K69,0))</f>
        <v/>
      </c>
      <c r="G66" s="80" t="str">
        <f>IF(E!K69="","",ROUND(E!K69,0))</f>
        <v/>
      </c>
      <c r="H66" s="80" t="str">
        <f>IF(F!K69="","",ROUND(F!K69,0))</f>
        <v/>
      </c>
      <c r="I66" s="80" t="str">
        <f>IF(G!K69="","",ROUND(G!K69,0))</f>
        <v/>
      </c>
      <c r="J66" s="33" t="str">
        <f>IF(H!K69="","",ROUND(H!K69,0))</f>
        <v/>
      </c>
    </row>
    <row r="67" spans="3:10" x14ac:dyDescent="0.2">
      <c r="C67" s="80" t="str">
        <f>IF(A!K70="","",ROUND(A!K70,0))</f>
        <v/>
      </c>
      <c r="D67" s="80" t="str">
        <f>IF(B!K70="","",ROUND(B!K70,0))</f>
        <v/>
      </c>
      <c r="E67" s="80" t="str">
        <f>IF('C'!K70="","",ROUND('C'!K70,0))</f>
        <v/>
      </c>
      <c r="F67" s="80" t="str">
        <f>IF(D!K70="","",ROUND(D!K70,0))</f>
        <v/>
      </c>
      <c r="G67" s="80" t="str">
        <f>IF(E!K70="","",ROUND(E!K70,0))</f>
        <v/>
      </c>
      <c r="H67" s="80" t="str">
        <f>IF(F!K70="","",ROUND(F!K70,0))</f>
        <v/>
      </c>
      <c r="I67" s="80" t="str">
        <f>IF(G!K70="","",ROUND(G!K70,0))</f>
        <v/>
      </c>
      <c r="J67" s="33" t="str">
        <f>IF(H!K70="","",ROUND(H!K70,0))</f>
        <v/>
      </c>
    </row>
    <row r="68" spans="3:10" x14ac:dyDescent="0.2">
      <c r="C68" s="80" t="str">
        <f>IF(A!K71="","",ROUND(A!K71,0))</f>
        <v/>
      </c>
      <c r="D68" s="80" t="str">
        <f>IF(B!K71="","",ROUND(B!K71,0))</f>
        <v/>
      </c>
      <c r="E68" s="80" t="str">
        <f>IF('C'!K71="","",ROUND('C'!K71,0))</f>
        <v/>
      </c>
      <c r="F68" s="80" t="str">
        <f>IF(D!K71="","",ROUND(D!K71,0))</f>
        <v/>
      </c>
      <c r="G68" s="80" t="str">
        <f>IF(E!K71="","",ROUND(E!K71,0))</f>
        <v/>
      </c>
      <c r="H68" s="80" t="str">
        <f>IF(F!K71="","",ROUND(F!K71,0))</f>
        <v/>
      </c>
      <c r="I68" s="80" t="str">
        <f>IF(G!K71="","",ROUND(G!K71,0))</f>
        <v/>
      </c>
      <c r="J68" s="33" t="str">
        <f>IF(H!K71="","",ROUND(H!K71,0))</f>
        <v/>
      </c>
    </row>
    <row r="69" spans="3:10" x14ac:dyDescent="0.2">
      <c r="C69" s="80" t="str">
        <f>IF(A!K72="","",ROUND(A!K72,0))</f>
        <v/>
      </c>
      <c r="D69" s="80" t="str">
        <f>IF(B!K72="","",ROUND(B!K72,0))</f>
        <v/>
      </c>
      <c r="E69" s="80" t="str">
        <f>IF('C'!K72="","",ROUND('C'!K72,0))</f>
        <v/>
      </c>
      <c r="F69" s="80" t="str">
        <f>IF(D!K72="","",ROUND(D!K72,0))</f>
        <v/>
      </c>
      <c r="G69" s="80" t="str">
        <f>IF(E!K72="","",ROUND(E!K72,0))</f>
        <v/>
      </c>
      <c r="H69" s="80" t="str">
        <f>IF(F!K72="","",ROUND(F!K72,0))</f>
        <v/>
      </c>
      <c r="I69" s="80" t="str">
        <f>IF(G!K72="","",ROUND(G!K72,0))</f>
        <v/>
      </c>
      <c r="J69" s="33" t="str">
        <f>IF(H!K72="","",ROUND(H!K72,0))</f>
        <v/>
      </c>
    </row>
    <row r="70" spans="3:10" x14ac:dyDescent="0.2">
      <c r="C70" s="80" t="str">
        <f>IF(A!K73="","",ROUND(A!K73,0))</f>
        <v/>
      </c>
      <c r="D70" s="80" t="str">
        <f>IF(B!K73="","",ROUND(B!K73,0))</f>
        <v/>
      </c>
      <c r="E70" s="80" t="str">
        <f>IF('C'!K73="","",ROUND('C'!K73,0))</f>
        <v/>
      </c>
      <c r="F70" s="80" t="str">
        <f>IF(D!K73="","",ROUND(D!K73,0))</f>
        <v/>
      </c>
      <c r="G70" s="80" t="str">
        <f>IF(E!K73="","",ROUND(E!K73,0))</f>
        <v/>
      </c>
      <c r="H70" s="80" t="str">
        <f>IF(F!K73="","",ROUND(F!K73,0))</f>
        <v/>
      </c>
      <c r="I70" s="80" t="str">
        <f>IF(G!K73="","",ROUND(G!K73,0))</f>
        <v/>
      </c>
      <c r="J70" s="33" t="str">
        <f>IF(H!K73="","",ROUND(H!K73,0))</f>
        <v/>
      </c>
    </row>
    <row r="71" spans="3:10" x14ac:dyDescent="0.2">
      <c r="C71" s="80" t="str">
        <f>IF(A!K74="","",ROUND(A!K74,0))</f>
        <v/>
      </c>
      <c r="D71" s="80" t="str">
        <f>IF(B!K74="","",ROUND(B!K74,0))</f>
        <v/>
      </c>
      <c r="E71" s="80" t="str">
        <f>IF('C'!K74="","",ROUND('C'!K74,0))</f>
        <v/>
      </c>
      <c r="F71" s="80" t="str">
        <f>IF(D!K74="","",ROUND(D!K74,0))</f>
        <v/>
      </c>
      <c r="G71" s="80" t="str">
        <f>IF(E!K74="","",ROUND(E!K74,0))</f>
        <v/>
      </c>
      <c r="H71" s="80" t="str">
        <f>IF(F!K74="","",ROUND(F!K74,0))</f>
        <v/>
      </c>
      <c r="I71" s="80" t="str">
        <f>IF(G!K74="","",ROUND(G!K74,0))</f>
        <v/>
      </c>
      <c r="J71" s="33" t="str">
        <f>IF(H!K74="","",ROUND(H!K74,0))</f>
        <v/>
      </c>
    </row>
    <row r="72" spans="3:10" x14ac:dyDescent="0.2">
      <c r="C72" s="80" t="str">
        <f>IF(A!K75="","",ROUND(A!K75,0))</f>
        <v/>
      </c>
      <c r="D72" s="80" t="str">
        <f>IF(B!K75="","",ROUND(B!K75,0))</f>
        <v/>
      </c>
      <c r="E72" s="80" t="str">
        <f>IF('C'!K75="","",ROUND('C'!K75,0))</f>
        <v/>
      </c>
      <c r="F72" s="80" t="str">
        <f>IF(D!K75="","",ROUND(D!K75,0))</f>
        <v/>
      </c>
      <c r="G72" s="80" t="str">
        <f>IF(E!K75="","",ROUND(E!K75,0))</f>
        <v/>
      </c>
      <c r="H72" s="80" t="str">
        <f>IF(F!K75="","",ROUND(F!K75,0))</f>
        <v/>
      </c>
      <c r="I72" s="80" t="str">
        <f>IF(G!K75="","",ROUND(G!K75,0))</f>
        <v/>
      </c>
      <c r="J72" s="33" t="str">
        <f>IF(H!K75="","",ROUND(H!K75,0))</f>
        <v/>
      </c>
    </row>
    <row r="73" spans="3:10" x14ac:dyDescent="0.2">
      <c r="C73" s="80" t="str">
        <f>IF(A!K76="","",ROUND(A!K76,0))</f>
        <v/>
      </c>
      <c r="D73" s="80" t="str">
        <f>IF(B!K76="","",ROUND(B!K76,0))</f>
        <v/>
      </c>
      <c r="E73" s="80" t="str">
        <f>IF('C'!K76="","",ROUND('C'!K76,0))</f>
        <v/>
      </c>
      <c r="F73" s="80" t="str">
        <f>IF(D!K76="","",ROUND(D!K76,0))</f>
        <v/>
      </c>
      <c r="G73" s="80" t="str">
        <f>IF(E!K76="","",ROUND(E!K76,0))</f>
        <v/>
      </c>
      <c r="H73" s="80" t="str">
        <f>IF(F!K76="","",ROUND(F!K76,0))</f>
        <v/>
      </c>
      <c r="I73" s="80" t="str">
        <f>IF(G!K76="","",ROUND(G!K76,0))</f>
        <v/>
      </c>
      <c r="J73" s="33" t="str">
        <f>IF(H!K76="","",ROUND(H!K76,0))</f>
        <v/>
      </c>
    </row>
    <row r="74" spans="3:10" x14ac:dyDescent="0.2">
      <c r="C74" s="80" t="str">
        <f>IF(A!K77="","",ROUND(A!K77,0))</f>
        <v/>
      </c>
      <c r="D74" s="80" t="str">
        <f>IF(B!K77="","",ROUND(B!K77,0))</f>
        <v/>
      </c>
      <c r="E74" s="80" t="str">
        <f>IF('C'!K77="","",ROUND('C'!K77,0))</f>
        <v/>
      </c>
      <c r="F74" s="80" t="str">
        <f>IF(D!K77="","",ROUND(D!K77,0))</f>
        <v/>
      </c>
      <c r="G74" s="80" t="str">
        <f>IF(E!K77="","",ROUND(E!K77,0))</f>
        <v/>
      </c>
      <c r="H74" s="80" t="str">
        <f>IF(F!K77="","",ROUND(F!K77,0))</f>
        <v/>
      </c>
      <c r="I74" s="80" t="str">
        <f>IF(G!K77="","",ROUND(G!K77,0))</f>
        <v/>
      </c>
      <c r="J74" s="33" t="str">
        <f>IF(H!K77="","",ROUND(H!K77,0))</f>
        <v/>
      </c>
    </row>
    <row r="75" spans="3:10" x14ac:dyDescent="0.2">
      <c r="C75" s="80" t="str">
        <f>IF(A!K78="","",ROUND(A!K78,0))</f>
        <v/>
      </c>
      <c r="D75" s="80" t="str">
        <f>IF(B!K78="","",ROUND(B!K78,0))</f>
        <v/>
      </c>
      <c r="E75" s="80" t="str">
        <f>IF('C'!K78="","",ROUND('C'!K78,0))</f>
        <v/>
      </c>
      <c r="F75" s="80" t="str">
        <f>IF(D!K78="","",ROUND(D!K78,0))</f>
        <v/>
      </c>
      <c r="G75" s="80" t="str">
        <f>IF(E!K78="","",ROUND(E!K78,0))</f>
        <v/>
      </c>
      <c r="H75" s="80" t="str">
        <f>IF(F!K78="","",ROUND(F!K78,0))</f>
        <v/>
      </c>
      <c r="I75" s="80" t="str">
        <f>IF(G!K78="","",ROUND(G!K78,0))</f>
        <v/>
      </c>
      <c r="J75" s="33" t="str">
        <f>IF(H!K78="","",ROUND(H!K78,0))</f>
        <v/>
      </c>
    </row>
    <row r="76" spans="3:10" x14ac:dyDescent="0.2">
      <c r="C76" s="80" t="str">
        <f>IF(A!K79="","",ROUND(A!K79,0))</f>
        <v/>
      </c>
      <c r="D76" s="80" t="str">
        <f>IF(B!K79="","",ROUND(B!K79,0))</f>
        <v/>
      </c>
      <c r="E76" s="80" t="str">
        <f>IF('C'!K79="","",ROUND('C'!K79,0))</f>
        <v/>
      </c>
      <c r="F76" s="80" t="str">
        <f>IF(D!K79="","",ROUND(D!K79,0))</f>
        <v/>
      </c>
      <c r="G76" s="80" t="str">
        <f>IF(E!K79="","",ROUND(E!K79,0))</f>
        <v/>
      </c>
      <c r="H76" s="80" t="str">
        <f>IF(F!K79="","",ROUND(F!K79,0))</f>
        <v/>
      </c>
      <c r="I76" s="80" t="str">
        <f>IF(G!K79="","",ROUND(G!K79,0))</f>
        <v/>
      </c>
      <c r="J76" s="33" t="str">
        <f>IF(H!K79="","",ROUND(H!K79,0))</f>
        <v/>
      </c>
    </row>
    <row r="77" spans="3:10" x14ac:dyDescent="0.2">
      <c r="C77" s="80" t="str">
        <f>IF(A!K80="","",ROUND(A!K80,0))</f>
        <v/>
      </c>
      <c r="D77" s="80" t="str">
        <f>IF(B!K80="","",ROUND(B!K80,0))</f>
        <v/>
      </c>
      <c r="E77" s="80" t="str">
        <f>IF('C'!K80="","",ROUND('C'!K80,0))</f>
        <v/>
      </c>
      <c r="F77" s="80" t="str">
        <f>IF(D!K80="","",ROUND(D!K80,0))</f>
        <v/>
      </c>
      <c r="G77" s="80" t="str">
        <f>IF(E!K80="","",ROUND(E!K80,0))</f>
        <v/>
      </c>
      <c r="H77" s="80" t="str">
        <f>IF(F!K80="","",ROUND(F!K80,0))</f>
        <v/>
      </c>
      <c r="I77" s="80" t="str">
        <f>IF(G!K80="","",ROUND(G!K80,0))</f>
        <v/>
      </c>
      <c r="J77" s="33" t="str">
        <f>IF(H!K80="","",ROUND(H!K80,0))</f>
        <v/>
      </c>
    </row>
    <row r="78" spans="3:10" x14ac:dyDescent="0.2">
      <c r="C78" s="80" t="str">
        <f>IF(A!K81="","",ROUND(A!K81,0))</f>
        <v/>
      </c>
      <c r="D78" s="80" t="str">
        <f>IF(B!K81="","",ROUND(B!K81,0))</f>
        <v/>
      </c>
      <c r="E78" s="80" t="str">
        <f>IF('C'!K81="","",ROUND('C'!K81,0))</f>
        <v/>
      </c>
      <c r="F78" s="80" t="str">
        <f>IF(D!K81="","",ROUND(D!K81,0))</f>
        <v/>
      </c>
      <c r="G78" s="80" t="str">
        <f>IF(E!K81="","",ROUND(E!K81,0))</f>
        <v/>
      </c>
      <c r="H78" s="80" t="str">
        <f>IF(F!K81="","",ROUND(F!K81,0))</f>
        <v/>
      </c>
      <c r="I78" s="80" t="str">
        <f>IF(G!K81="","",ROUND(G!K81,0))</f>
        <v/>
      </c>
      <c r="J78" s="33" t="str">
        <f>IF(H!K81="","",ROUND(H!K81,0))</f>
        <v/>
      </c>
    </row>
    <row r="79" spans="3:10" x14ac:dyDescent="0.2">
      <c r="C79" s="80" t="str">
        <f>IF(A!K82="","",ROUND(A!K82,0))</f>
        <v/>
      </c>
      <c r="D79" s="80" t="str">
        <f>IF(B!K82="","",ROUND(B!K82,0))</f>
        <v/>
      </c>
      <c r="E79" s="80" t="str">
        <f>IF('C'!K82="","",ROUND('C'!K82,0))</f>
        <v/>
      </c>
      <c r="F79" s="80" t="str">
        <f>IF(D!K82="","",ROUND(D!K82,0))</f>
        <v/>
      </c>
      <c r="G79" s="80" t="str">
        <f>IF(E!K82="","",ROUND(E!K82,0))</f>
        <v/>
      </c>
      <c r="H79" s="80" t="str">
        <f>IF(F!K82="","",ROUND(F!K82,0))</f>
        <v/>
      </c>
      <c r="I79" s="80" t="str">
        <f>IF(G!K82="","",ROUND(G!K82,0))</f>
        <v/>
      </c>
      <c r="J79" s="33" t="str">
        <f>IF(H!K82="","",ROUND(H!K82,0))</f>
        <v/>
      </c>
    </row>
    <row r="80" spans="3:10" x14ac:dyDescent="0.2">
      <c r="C80" s="80" t="str">
        <f>IF(A!K83="","",ROUND(A!K83,0))</f>
        <v/>
      </c>
      <c r="D80" s="80" t="str">
        <f>IF(B!K83="","",ROUND(B!K83,0))</f>
        <v/>
      </c>
      <c r="E80" s="80" t="str">
        <f>IF('C'!K83="","",ROUND('C'!K83,0))</f>
        <v/>
      </c>
      <c r="F80" s="80" t="str">
        <f>IF(D!K83="","",ROUND(D!K83,0))</f>
        <v/>
      </c>
      <c r="G80" s="80" t="str">
        <f>IF(E!K83="","",ROUND(E!K83,0))</f>
        <v/>
      </c>
      <c r="H80" s="80" t="str">
        <f>IF(F!K83="","",ROUND(F!K83,0))</f>
        <v/>
      </c>
      <c r="I80" s="80" t="str">
        <f>IF(G!K83="","",ROUND(G!K83,0))</f>
        <v/>
      </c>
      <c r="J80" s="33" t="str">
        <f>IF(H!K83="","",ROUND(H!K83,0))</f>
        <v/>
      </c>
    </row>
    <row r="81" spans="3:10" x14ac:dyDescent="0.2">
      <c r="C81" s="80" t="str">
        <f>IF(A!K84="","",ROUND(A!K84,0))</f>
        <v/>
      </c>
      <c r="D81" s="80" t="str">
        <f>IF(B!K84="","",ROUND(B!K84,0))</f>
        <v/>
      </c>
      <c r="E81" s="80" t="str">
        <f>IF('C'!K84="","",ROUND('C'!K84,0))</f>
        <v/>
      </c>
      <c r="F81" s="80" t="str">
        <f>IF(D!K84="","",ROUND(D!K84,0))</f>
        <v/>
      </c>
      <c r="G81" s="80" t="str">
        <f>IF(E!K84="","",ROUND(E!K84,0))</f>
        <v/>
      </c>
      <c r="H81" s="80" t="str">
        <f>IF(F!K84="","",ROUND(F!K84,0))</f>
        <v/>
      </c>
      <c r="I81" s="80" t="str">
        <f>IF(G!K84="","",ROUND(G!K84,0))</f>
        <v/>
      </c>
      <c r="J81" s="33" t="str">
        <f>IF(H!K84="","",ROUND(H!K84,0))</f>
        <v/>
      </c>
    </row>
    <row r="82" spans="3:10" x14ac:dyDescent="0.2">
      <c r="C82" s="80" t="str">
        <f>IF(A!K85="","",ROUND(A!K85,0))</f>
        <v/>
      </c>
      <c r="D82" s="80" t="str">
        <f>IF(B!K85="","",ROUND(B!K85,0))</f>
        <v/>
      </c>
      <c r="E82" s="80" t="str">
        <f>IF('C'!K85="","",ROUND('C'!K85,0))</f>
        <v/>
      </c>
      <c r="F82" s="80" t="str">
        <f>IF(D!K85="","",ROUND(D!K85,0))</f>
        <v/>
      </c>
      <c r="G82" s="80" t="str">
        <f>IF(E!K85="","",ROUND(E!K85,0))</f>
        <v/>
      </c>
      <c r="H82" s="80" t="str">
        <f>IF(F!K85="","",ROUND(F!K85,0))</f>
        <v/>
      </c>
      <c r="I82" s="80" t="str">
        <f>IF(G!K85="","",ROUND(G!K85,0))</f>
        <v/>
      </c>
      <c r="J82" s="33" t="str">
        <f>IF(H!K85="","",ROUND(H!K85,0))</f>
        <v/>
      </c>
    </row>
    <row r="83" spans="3:10" x14ac:dyDescent="0.2">
      <c r="C83" s="80" t="str">
        <f>IF(A!K86="","",ROUND(A!K86,0))</f>
        <v/>
      </c>
      <c r="D83" s="80" t="str">
        <f>IF(B!K86="","",ROUND(B!K86,0))</f>
        <v/>
      </c>
      <c r="E83" s="80" t="str">
        <f>IF('C'!K86="","",ROUND('C'!K86,0))</f>
        <v/>
      </c>
      <c r="F83" s="80" t="str">
        <f>IF(D!K86="","",ROUND(D!K86,0))</f>
        <v/>
      </c>
      <c r="G83" s="80" t="str">
        <f>IF(E!K86="","",ROUND(E!K86,0))</f>
        <v/>
      </c>
      <c r="H83" s="80" t="str">
        <f>IF(F!K86="","",ROUND(F!K86,0))</f>
        <v/>
      </c>
      <c r="I83" s="80" t="str">
        <f>IF(G!K86="","",ROUND(G!K86,0))</f>
        <v/>
      </c>
      <c r="J83" s="33" t="str">
        <f>IF(H!K86="","",ROUND(H!K86,0))</f>
        <v/>
      </c>
    </row>
    <row r="84" spans="3:10" x14ac:dyDescent="0.2">
      <c r="C84" s="80" t="str">
        <f>IF(A!K87="","",ROUND(A!K87,0))</f>
        <v/>
      </c>
      <c r="D84" s="80" t="str">
        <f>IF(B!K87="","",ROUND(B!K87,0))</f>
        <v/>
      </c>
      <c r="E84" s="80" t="str">
        <f>IF('C'!K87="","",ROUND('C'!K87,0))</f>
        <v/>
      </c>
      <c r="F84" s="80" t="str">
        <f>IF(D!K87="","",ROUND(D!K87,0))</f>
        <v/>
      </c>
      <c r="G84" s="80" t="str">
        <f>IF(E!K87="","",ROUND(E!K87,0))</f>
        <v/>
      </c>
      <c r="H84" s="80" t="str">
        <f>IF(F!K87="","",ROUND(F!K87,0))</f>
        <v/>
      </c>
      <c r="I84" s="80" t="str">
        <f>IF(G!K87="","",ROUND(G!K87,0))</f>
        <v/>
      </c>
      <c r="J84" s="33" t="str">
        <f>IF(H!K87="","",ROUND(H!K87,0))</f>
        <v/>
      </c>
    </row>
    <row r="85" spans="3:10" x14ac:dyDescent="0.2">
      <c r="C85" s="80" t="str">
        <f>IF(A!K88="","",ROUND(A!K88,0))</f>
        <v/>
      </c>
      <c r="D85" s="80" t="str">
        <f>IF(B!K88="","",ROUND(B!K88,0))</f>
        <v/>
      </c>
      <c r="E85" s="80" t="str">
        <f>IF('C'!K88="","",ROUND('C'!K88,0))</f>
        <v/>
      </c>
      <c r="F85" s="80" t="str">
        <f>IF(D!K88="","",ROUND(D!K88,0))</f>
        <v/>
      </c>
      <c r="G85" s="80" t="str">
        <f>IF(E!K88="","",ROUND(E!K88,0))</f>
        <v/>
      </c>
      <c r="H85" s="80" t="str">
        <f>IF(F!K88="","",ROUND(F!K88,0))</f>
        <v/>
      </c>
      <c r="I85" s="80" t="str">
        <f>IF(G!K88="","",ROUND(G!K88,0))</f>
        <v/>
      </c>
      <c r="J85" s="33" t="str">
        <f>IF(H!K88="","",ROUND(H!K88,0))</f>
        <v/>
      </c>
    </row>
    <row r="86" spans="3:10" x14ac:dyDescent="0.2">
      <c r="C86" s="80" t="str">
        <f>IF(A!K89="","",ROUND(A!K89,0))</f>
        <v/>
      </c>
      <c r="D86" s="80" t="str">
        <f>IF(B!K89="","",ROUND(B!K89,0))</f>
        <v/>
      </c>
      <c r="E86" s="80" t="str">
        <f>IF('C'!K89="","",ROUND('C'!K89,0))</f>
        <v/>
      </c>
      <c r="F86" s="80" t="str">
        <f>IF(D!K89="","",ROUND(D!K89,0))</f>
        <v/>
      </c>
      <c r="G86" s="80" t="str">
        <f>IF(E!K89="","",ROUND(E!K89,0))</f>
        <v/>
      </c>
      <c r="H86" s="80" t="str">
        <f>IF(F!K89="","",ROUND(F!K89,0))</f>
        <v/>
      </c>
      <c r="I86" s="80" t="str">
        <f>IF(G!K89="","",ROUND(G!K89,0))</f>
        <v/>
      </c>
      <c r="J86" s="33" t="str">
        <f>IF(H!K89="","",ROUND(H!K89,0))</f>
        <v/>
      </c>
    </row>
    <row r="87" spans="3:10" x14ac:dyDescent="0.2">
      <c r="C87" s="80" t="str">
        <f>IF(A!K90="","",ROUND(A!K90,0))</f>
        <v/>
      </c>
      <c r="D87" s="80" t="str">
        <f>IF(B!K90="","",ROUND(B!K90,0))</f>
        <v/>
      </c>
      <c r="E87" s="80" t="str">
        <f>IF('C'!K90="","",ROUND('C'!K90,0))</f>
        <v/>
      </c>
      <c r="F87" s="80" t="str">
        <f>IF(D!K90="","",ROUND(D!K90,0))</f>
        <v/>
      </c>
      <c r="G87" s="80" t="str">
        <f>IF(E!K90="","",ROUND(E!K90,0))</f>
        <v/>
      </c>
      <c r="H87" s="80" t="str">
        <f>IF(F!K90="","",ROUND(F!K90,0))</f>
        <v/>
      </c>
      <c r="I87" s="80" t="str">
        <f>IF(G!K90="","",ROUND(G!K90,0))</f>
        <v/>
      </c>
      <c r="J87" s="33" t="str">
        <f>IF(H!K90="","",ROUND(H!K90,0))</f>
        <v/>
      </c>
    </row>
    <row r="88" spans="3:10" x14ac:dyDescent="0.2">
      <c r="C88" s="80" t="str">
        <f>IF(A!K91="","",ROUND(A!K91,0))</f>
        <v/>
      </c>
      <c r="D88" s="80" t="str">
        <f>IF(B!K91="","",ROUND(B!K91,0))</f>
        <v/>
      </c>
      <c r="E88" s="80" t="str">
        <f>IF('C'!K91="","",ROUND('C'!K91,0))</f>
        <v/>
      </c>
      <c r="F88" s="80" t="str">
        <f>IF(D!K91="","",ROUND(D!K91,0))</f>
        <v/>
      </c>
      <c r="G88" s="80" t="str">
        <f>IF(E!K91="","",ROUND(E!K91,0))</f>
        <v/>
      </c>
      <c r="H88" s="80" t="str">
        <f>IF(F!K91="","",ROUND(F!K91,0))</f>
        <v/>
      </c>
      <c r="I88" s="80" t="str">
        <f>IF(G!K91="","",ROUND(G!K91,0))</f>
        <v/>
      </c>
      <c r="J88" s="33" t="str">
        <f>IF(H!K91="","",ROUND(H!K91,0))</f>
        <v/>
      </c>
    </row>
    <row r="89" spans="3:10" x14ac:dyDescent="0.2">
      <c r="C89" s="80" t="str">
        <f>IF(A!K92="","",ROUND(A!K92,0))</f>
        <v/>
      </c>
      <c r="D89" s="80" t="str">
        <f>IF(B!K92="","",ROUND(B!K92,0))</f>
        <v/>
      </c>
      <c r="E89" s="80" t="str">
        <f>IF('C'!K92="","",ROUND('C'!K92,0))</f>
        <v/>
      </c>
      <c r="F89" s="80" t="str">
        <f>IF(D!K92="","",ROUND(D!K92,0))</f>
        <v/>
      </c>
      <c r="G89" s="80" t="str">
        <f>IF(E!K92="","",ROUND(E!K92,0))</f>
        <v/>
      </c>
      <c r="H89" s="80" t="str">
        <f>IF(F!K92="","",ROUND(F!K92,0))</f>
        <v/>
      </c>
      <c r="I89" s="80" t="str">
        <f>IF(G!K92="","",ROUND(G!K92,0))</f>
        <v/>
      </c>
      <c r="J89" s="33" t="str">
        <f>IF(H!K92="","",ROUND(H!K92,0))</f>
        <v/>
      </c>
    </row>
    <row r="90" spans="3:10" x14ac:dyDescent="0.2">
      <c r="C90" s="80" t="str">
        <f>IF(A!K93="","",ROUND(A!K93,0))</f>
        <v/>
      </c>
      <c r="D90" s="80" t="str">
        <f>IF(B!K93="","",ROUND(B!K93,0))</f>
        <v/>
      </c>
      <c r="E90" s="80" t="str">
        <f>IF('C'!K93="","",ROUND('C'!K93,0))</f>
        <v/>
      </c>
      <c r="F90" s="80" t="str">
        <f>IF(D!K93="","",ROUND(D!K93,0))</f>
        <v/>
      </c>
      <c r="G90" s="80" t="str">
        <f>IF(E!K93="","",ROUND(E!K93,0))</f>
        <v/>
      </c>
      <c r="H90" s="80" t="str">
        <f>IF(F!K93="","",ROUND(F!K93,0))</f>
        <v/>
      </c>
      <c r="I90" s="80" t="str">
        <f>IF(G!K93="","",ROUND(G!K93,0))</f>
        <v/>
      </c>
      <c r="J90" s="33" t="str">
        <f>IF(H!K93="","",ROUND(H!K93,0))</f>
        <v/>
      </c>
    </row>
    <row r="91" spans="3:10" x14ac:dyDescent="0.2">
      <c r="C91" s="80" t="str">
        <f>IF(A!K94="","",ROUND(A!K94,0))</f>
        <v/>
      </c>
      <c r="D91" s="80" t="str">
        <f>IF(B!K94="","",ROUND(B!K94,0))</f>
        <v/>
      </c>
      <c r="E91" s="80" t="str">
        <f>IF('C'!K94="","",ROUND('C'!K94,0))</f>
        <v/>
      </c>
      <c r="F91" s="80" t="str">
        <f>IF(D!K94="","",ROUND(D!K94,0))</f>
        <v/>
      </c>
      <c r="G91" s="80" t="str">
        <f>IF(E!K94="","",ROUND(E!K94,0))</f>
        <v/>
      </c>
      <c r="H91" s="80" t="str">
        <f>IF(F!K94="","",ROUND(F!K94,0))</f>
        <v/>
      </c>
      <c r="I91" s="80" t="str">
        <f>IF(G!K94="","",ROUND(G!K94,0))</f>
        <v/>
      </c>
      <c r="J91" s="33" t="str">
        <f>IF(H!K94="","",ROUND(H!K94,0))</f>
        <v/>
      </c>
    </row>
    <row r="92" spans="3:10" x14ac:dyDescent="0.2">
      <c r="C92" s="80" t="str">
        <f>IF(A!K95="","",ROUND(A!K95,0))</f>
        <v/>
      </c>
      <c r="D92" s="80" t="str">
        <f>IF(B!K95="","",ROUND(B!K95,0))</f>
        <v/>
      </c>
      <c r="E92" s="80" t="str">
        <f>IF('C'!K95="","",ROUND('C'!K95,0))</f>
        <v/>
      </c>
      <c r="F92" s="80" t="str">
        <f>IF(D!K95="","",ROUND(D!K95,0))</f>
        <v/>
      </c>
      <c r="G92" s="80" t="str">
        <f>IF(E!K95="","",ROUND(E!K95,0))</f>
        <v/>
      </c>
      <c r="H92" s="80" t="str">
        <f>IF(F!K95="","",ROUND(F!K95,0))</f>
        <v/>
      </c>
      <c r="I92" s="80" t="str">
        <f>IF(G!K95="","",ROUND(G!K95,0))</f>
        <v/>
      </c>
      <c r="J92" s="33" t="str">
        <f>IF(H!K95="","",ROUND(H!K95,0))</f>
        <v/>
      </c>
    </row>
    <row r="93" spans="3:10" x14ac:dyDescent="0.2">
      <c r="C93" s="80" t="str">
        <f>IF(A!K96="","",ROUND(A!K96,0))</f>
        <v/>
      </c>
      <c r="D93" s="80" t="str">
        <f>IF(B!K96="","",ROUND(B!K96,0))</f>
        <v/>
      </c>
      <c r="E93" s="80" t="str">
        <f>IF('C'!K96="","",ROUND('C'!K96,0))</f>
        <v/>
      </c>
      <c r="F93" s="80" t="str">
        <f>IF(D!K96="","",ROUND(D!K96,0))</f>
        <v/>
      </c>
      <c r="G93" s="80" t="str">
        <f>IF(E!K96="","",ROUND(E!K96,0))</f>
        <v/>
      </c>
      <c r="H93" s="80" t="str">
        <f>IF(F!K96="","",ROUND(F!K96,0))</f>
        <v/>
      </c>
      <c r="I93" s="80" t="str">
        <f>IF(G!K96="","",ROUND(G!K96,0))</f>
        <v/>
      </c>
      <c r="J93" s="33" t="str">
        <f>IF(H!K96="","",ROUND(H!K96,0))</f>
        <v/>
      </c>
    </row>
    <row r="94" spans="3:10" x14ac:dyDescent="0.2">
      <c r="C94" s="80" t="str">
        <f>IF(A!K97="","",ROUND(A!K97,0))</f>
        <v/>
      </c>
      <c r="D94" s="80" t="str">
        <f>IF(B!K97="","",ROUND(B!K97,0))</f>
        <v/>
      </c>
      <c r="E94" s="80" t="str">
        <f>IF('C'!K97="","",ROUND('C'!K97,0))</f>
        <v/>
      </c>
      <c r="F94" s="80" t="str">
        <f>IF(D!K97="","",ROUND(D!K97,0))</f>
        <v/>
      </c>
      <c r="G94" s="80" t="str">
        <f>IF(E!K97="","",ROUND(E!K97,0))</f>
        <v/>
      </c>
      <c r="H94" s="80" t="str">
        <f>IF(F!K97="","",ROUND(F!K97,0))</f>
        <v/>
      </c>
      <c r="I94" s="80" t="str">
        <f>IF(G!K97="","",ROUND(G!K97,0))</f>
        <v/>
      </c>
      <c r="J94" s="33" t="str">
        <f>IF(H!K97="","",ROUND(H!K97,0))</f>
        <v/>
      </c>
    </row>
    <row r="95" spans="3:10" x14ac:dyDescent="0.2">
      <c r="C95" s="80" t="str">
        <f>IF(A!K98="","",ROUND(A!K98,0))</f>
        <v/>
      </c>
      <c r="D95" s="80" t="str">
        <f>IF(B!K98="","",ROUND(B!K98,0))</f>
        <v/>
      </c>
      <c r="E95" s="80" t="str">
        <f>IF('C'!K98="","",ROUND('C'!K98,0))</f>
        <v/>
      </c>
      <c r="F95" s="80" t="str">
        <f>IF(D!K98="","",ROUND(D!K98,0))</f>
        <v/>
      </c>
      <c r="G95" s="80" t="str">
        <f>IF(E!K98="","",ROUND(E!K98,0))</f>
        <v/>
      </c>
      <c r="H95" s="80" t="str">
        <f>IF(F!K98="","",ROUND(F!K98,0))</f>
        <v/>
      </c>
      <c r="I95" s="80" t="str">
        <f>IF(G!K98="","",ROUND(G!K98,0))</f>
        <v/>
      </c>
      <c r="J95" s="33" t="str">
        <f>IF(H!K98="","",ROUND(H!K98,0))</f>
        <v/>
      </c>
    </row>
    <row r="96" spans="3:10" x14ac:dyDescent="0.2">
      <c r="C96" s="80" t="str">
        <f>IF(A!K99="","",ROUND(A!K99,0))</f>
        <v/>
      </c>
      <c r="D96" s="80" t="str">
        <f>IF(B!K99="","",ROUND(B!K99,0))</f>
        <v/>
      </c>
      <c r="E96" s="80" t="str">
        <f>IF('C'!K99="","",ROUND('C'!K99,0))</f>
        <v/>
      </c>
      <c r="F96" s="80" t="str">
        <f>IF(D!K99="","",ROUND(D!K99,0))</f>
        <v/>
      </c>
      <c r="G96" s="80" t="str">
        <f>IF(E!K99="","",ROUND(E!K99,0))</f>
        <v/>
      </c>
      <c r="H96" s="80" t="str">
        <f>IF(F!K99="","",ROUND(F!K99,0))</f>
        <v/>
      </c>
      <c r="I96" s="80" t="str">
        <f>IF(G!K99="","",ROUND(G!K99,0))</f>
        <v/>
      </c>
      <c r="J96" s="33" t="str">
        <f>IF(H!K99="","",ROUND(H!K99,0))</f>
        <v/>
      </c>
    </row>
    <row r="97" spans="3:10" x14ac:dyDescent="0.2">
      <c r="C97" s="80" t="str">
        <f>IF(A!K100="","",ROUND(A!K100,0))</f>
        <v/>
      </c>
      <c r="D97" s="80" t="str">
        <f>IF(B!K100="","",ROUND(B!K100,0))</f>
        <v/>
      </c>
      <c r="E97" s="80" t="str">
        <f>IF('C'!K100="","",ROUND('C'!K100,0))</f>
        <v/>
      </c>
      <c r="F97" s="80" t="str">
        <f>IF(D!K100="","",ROUND(D!K100,0))</f>
        <v/>
      </c>
      <c r="G97" s="80" t="str">
        <f>IF(E!K100="","",ROUND(E!K100,0))</f>
        <v/>
      </c>
      <c r="H97" s="80" t="str">
        <f>IF(F!K100="","",ROUND(F!K100,0))</f>
        <v/>
      </c>
      <c r="I97" s="80" t="str">
        <f>IF(G!K100="","",ROUND(G!K100,0))</f>
        <v/>
      </c>
      <c r="J97" s="33" t="str">
        <f>IF(H!K100="","",ROUND(H!K100,0))</f>
        <v/>
      </c>
    </row>
    <row r="98" spans="3:10" x14ac:dyDescent="0.2">
      <c r="C98" s="80" t="str">
        <f>IF(A!K101="","",ROUND(A!K101,0))</f>
        <v/>
      </c>
      <c r="D98" s="80" t="str">
        <f>IF(B!K101="","",ROUND(B!K101,0))</f>
        <v/>
      </c>
      <c r="E98" s="80" t="str">
        <f>IF('C'!K101="","",ROUND('C'!K101,0))</f>
        <v/>
      </c>
      <c r="F98" s="80" t="str">
        <f>IF(D!K101="","",ROUND(D!K101,0))</f>
        <v/>
      </c>
      <c r="G98" s="80" t="str">
        <f>IF(E!K101="","",ROUND(E!K101,0))</f>
        <v/>
      </c>
      <c r="H98" s="80" t="str">
        <f>IF(F!K101="","",ROUND(F!K101,0))</f>
        <v/>
      </c>
      <c r="I98" s="80" t="str">
        <f>IF(G!K101="","",ROUND(G!K101,0))</f>
        <v/>
      </c>
      <c r="J98" s="33" t="str">
        <f>IF(H!K101="","",ROUND(H!K101,0))</f>
        <v/>
      </c>
    </row>
    <row r="99" spans="3:10" x14ac:dyDescent="0.2">
      <c r="C99" s="80" t="str">
        <f>IF(A!K102="","",ROUND(A!K102,0))</f>
        <v/>
      </c>
      <c r="D99" s="80" t="str">
        <f>IF(B!K102="","",ROUND(B!K102,0))</f>
        <v/>
      </c>
      <c r="E99" s="80" t="str">
        <f>IF('C'!K102="","",ROUND('C'!K102,0))</f>
        <v/>
      </c>
      <c r="F99" s="80" t="str">
        <f>IF(D!K102="","",ROUND(D!K102,0))</f>
        <v/>
      </c>
      <c r="G99" s="80" t="str">
        <f>IF(E!K102="","",ROUND(E!K102,0))</f>
        <v/>
      </c>
      <c r="H99" s="80" t="str">
        <f>IF(F!K102="","",ROUND(F!K102,0))</f>
        <v/>
      </c>
      <c r="I99" s="80" t="str">
        <f>IF(G!K102="","",ROUND(G!K102,0))</f>
        <v/>
      </c>
      <c r="J99" s="33" t="str">
        <f>IF(H!K102="","",ROUND(H!K102,0))</f>
        <v/>
      </c>
    </row>
    <row r="100" spans="3:10" x14ac:dyDescent="0.2">
      <c r="C100" s="80" t="str">
        <f>IF(A!K103="","",ROUND(A!K103,0))</f>
        <v/>
      </c>
      <c r="D100" s="80" t="str">
        <f>IF(B!K103="","",ROUND(B!K103,0))</f>
        <v/>
      </c>
      <c r="E100" s="80" t="str">
        <f>IF('C'!K103="","",ROUND('C'!K103,0))</f>
        <v/>
      </c>
      <c r="F100" s="80" t="str">
        <f>IF(D!K103="","",ROUND(D!K103,0))</f>
        <v/>
      </c>
      <c r="G100" s="80" t="str">
        <f>IF(E!K103="","",ROUND(E!K103,0))</f>
        <v/>
      </c>
      <c r="H100" s="80" t="str">
        <f>IF(F!K103="","",ROUND(F!K103,0))</f>
        <v/>
      </c>
      <c r="I100" s="80" t="str">
        <f>IF(G!K103="","",ROUND(G!K103,0))</f>
        <v/>
      </c>
      <c r="J100" s="33" t="str">
        <f>IF(H!K103="","",ROUND(H!K103,0))</f>
        <v/>
      </c>
    </row>
    <row r="101" spans="3:10" x14ac:dyDescent="0.2">
      <c r="C101" s="80" t="str">
        <f>IF(A!K104="","",ROUND(A!K104,0))</f>
        <v/>
      </c>
      <c r="D101" s="80" t="str">
        <f>IF(B!K104="","",ROUND(B!K104,0))</f>
        <v/>
      </c>
      <c r="E101" s="80" t="str">
        <f>IF('C'!K104="","",ROUND('C'!K104,0))</f>
        <v/>
      </c>
      <c r="F101" s="80" t="str">
        <f>IF(D!K104="","",ROUND(D!K104,0))</f>
        <v/>
      </c>
      <c r="G101" s="80" t="str">
        <f>IF(E!K104="","",ROUND(E!K104,0))</f>
        <v/>
      </c>
      <c r="H101" s="80" t="str">
        <f>IF(F!K104="","",ROUND(F!K104,0))</f>
        <v/>
      </c>
      <c r="I101" s="80" t="str">
        <f>IF(G!K104="","",ROUND(G!K104,0))</f>
        <v/>
      </c>
      <c r="J101" s="33" t="str">
        <f>IF(H!K104="","",ROUND(H!K104,0))</f>
        <v/>
      </c>
    </row>
    <row r="102" spans="3:10" x14ac:dyDescent="0.2">
      <c r="C102" s="80" t="str">
        <f>IF(A!K105="","",ROUND(A!K105,0))</f>
        <v/>
      </c>
      <c r="D102" s="80" t="str">
        <f>IF(B!K105="","",ROUND(B!K105,0))</f>
        <v/>
      </c>
      <c r="E102" s="80" t="str">
        <f>IF('C'!K105="","",ROUND('C'!K105,0))</f>
        <v/>
      </c>
      <c r="F102" s="80" t="str">
        <f>IF(D!K105="","",ROUND(D!K105,0))</f>
        <v/>
      </c>
      <c r="G102" s="80" t="str">
        <f>IF(E!K105="","",ROUND(E!K105,0))</f>
        <v/>
      </c>
      <c r="H102" s="80" t="str">
        <f>IF(F!K105="","",ROUND(F!K105,0))</f>
        <v/>
      </c>
      <c r="I102" s="80" t="str">
        <f>IF(G!K105="","",ROUND(G!K105,0))</f>
        <v/>
      </c>
      <c r="J102" s="33" t="str">
        <f>IF(H!K105="","",ROUND(H!K105,0))</f>
        <v/>
      </c>
    </row>
    <row r="103" spans="3:10" x14ac:dyDescent="0.2">
      <c r="C103" s="80" t="str">
        <f>IF(A!K106="","",ROUND(A!K106,0))</f>
        <v/>
      </c>
      <c r="D103" s="80" t="str">
        <f>IF(B!K106="","",ROUND(B!K106,0))</f>
        <v/>
      </c>
      <c r="E103" s="80" t="str">
        <f>IF('C'!K106="","",ROUND('C'!K106,0))</f>
        <v/>
      </c>
      <c r="F103" s="80" t="str">
        <f>IF(D!K106="","",ROUND(D!K106,0))</f>
        <v/>
      </c>
      <c r="G103" s="80" t="str">
        <f>IF(E!K106="","",ROUND(E!K106,0))</f>
        <v/>
      </c>
      <c r="H103" s="80" t="str">
        <f>IF(F!K106="","",ROUND(F!K106,0))</f>
        <v/>
      </c>
      <c r="I103" s="80" t="str">
        <f>IF(G!K106="","",ROUND(G!K106,0))</f>
        <v/>
      </c>
      <c r="J103" s="33" t="str">
        <f>IF(H!K106="","",ROUND(H!K106,0))</f>
        <v/>
      </c>
    </row>
    <row r="104" spans="3:10" x14ac:dyDescent="0.2">
      <c r="C104" s="80" t="str">
        <f>IF(A!K107="","",ROUND(A!K107,0))</f>
        <v/>
      </c>
      <c r="D104" s="80" t="str">
        <f>IF(B!K107="","",ROUND(B!K107,0))</f>
        <v/>
      </c>
      <c r="E104" s="80" t="str">
        <f>IF('C'!K107="","",ROUND('C'!K107,0))</f>
        <v/>
      </c>
      <c r="F104" s="80" t="str">
        <f>IF(D!K107="","",ROUND(D!K107,0))</f>
        <v/>
      </c>
      <c r="G104" s="80" t="str">
        <f>IF(E!K107="","",ROUND(E!K107,0))</f>
        <v/>
      </c>
      <c r="H104" s="80" t="str">
        <f>IF(F!K107="","",ROUND(F!K107,0))</f>
        <v/>
      </c>
      <c r="I104" s="80" t="str">
        <f>IF(G!K107="","",ROUND(G!K107,0))</f>
        <v/>
      </c>
      <c r="J104" s="33" t="str">
        <f>IF(H!K107="","",ROUND(H!K107,0))</f>
        <v/>
      </c>
    </row>
    <row r="105" spans="3:10" x14ac:dyDescent="0.2">
      <c r="C105" s="80" t="str">
        <f>IF(A!K108="","",ROUND(A!K108,0))</f>
        <v/>
      </c>
      <c r="D105" s="80" t="str">
        <f>IF(B!K108="","",ROUND(B!K108,0))</f>
        <v/>
      </c>
      <c r="E105" s="80" t="str">
        <f>IF('C'!K108="","",ROUND('C'!K108,0))</f>
        <v/>
      </c>
      <c r="F105" s="80" t="str">
        <f>IF(D!K108="","",ROUND(D!K108,0))</f>
        <v/>
      </c>
      <c r="G105" s="80" t="str">
        <f>IF(E!K108="","",ROUND(E!K108,0))</f>
        <v/>
      </c>
      <c r="H105" s="80" t="str">
        <f>IF(F!K108="","",ROUND(F!K108,0))</f>
        <v/>
      </c>
      <c r="I105" s="80" t="str">
        <f>IF(G!K108="","",ROUND(G!K108,0))</f>
        <v/>
      </c>
      <c r="J105" s="33" t="str">
        <f>IF(H!K108="","",ROUND(H!K108,0))</f>
        <v/>
      </c>
    </row>
    <row r="106" spans="3:10" x14ac:dyDescent="0.2">
      <c r="C106" s="80" t="str">
        <f>IF(A!K109="","",ROUND(A!K109,0))</f>
        <v/>
      </c>
      <c r="D106" s="80" t="str">
        <f>IF(B!K109="","",ROUND(B!K109,0))</f>
        <v/>
      </c>
      <c r="E106" s="80" t="str">
        <f>IF('C'!K109="","",ROUND('C'!K109,0))</f>
        <v/>
      </c>
      <c r="F106" s="80" t="str">
        <f>IF(D!K109="","",ROUND(D!K109,0))</f>
        <v/>
      </c>
      <c r="G106" s="80" t="str">
        <f>IF(E!K109="","",ROUND(E!K109,0))</f>
        <v/>
      </c>
      <c r="H106" s="80" t="str">
        <f>IF(F!K109="","",ROUND(F!K109,0))</f>
        <v/>
      </c>
      <c r="I106" s="80" t="str">
        <f>IF(G!K109="","",ROUND(G!K109,0))</f>
        <v/>
      </c>
      <c r="J106" s="33" t="str">
        <f>IF(H!K109="","",ROUND(H!K109,0))</f>
        <v/>
      </c>
    </row>
    <row r="107" spans="3:10" x14ac:dyDescent="0.2">
      <c r="C107" s="80" t="str">
        <f>IF(A!K110="","",ROUND(A!K110,0))</f>
        <v/>
      </c>
      <c r="D107" s="80" t="str">
        <f>IF(B!K110="","",ROUND(B!K110,0))</f>
        <v/>
      </c>
      <c r="E107" s="80" t="str">
        <f>IF('C'!K110="","",ROUND('C'!K110,0))</f>
        <v/>
      </c>
      <c r="F107" s="80" t="str">
        <f>IF(D!K110="","",ROUND(D!K110,0))</f>
        <v/>
      </c>
      <c r="G107" s="80" t="str">
        <f>IF(E!K110="","",ROUND(E!K110,0))</f>
        <v/>
      </c>
      <c r="H107" s="80" t="str">
        <f>IF(F!K110="","",ROUND(F!K110,0))</f>
        <v/>
      </c>
      <c r="I107" s="80" t="str">
        <f>IF(G!K110="","",ROUND(G!K110,0))</f>
        <v/>
      </c>
      <c r="J107" s="33" t="str">
        <f>IF(H!K110="","",ROUND(H!K110,0))</f>
        <v/>
      </c>
    </row>
    <row r="108" spans="3:10" x14ac:dyDescent="0.2">
      <c r="C108" s="80" t="str">
        <f>IF(A!K111="","",ROUND(A!K111,0))</f>
        <v/>
      </c>
      <c r="D108" s="80" t="str">
        <f>IF(B!K111="","",ROUND(B!K111,0))</f>
        <v/>
      </c>
      <c r="E108" s="80" t="str">
        <f>IF('C'!K111="","",ROUND('C'!K111,0))</f>
        <v/>
      </c>
      <c r="F108" s="80" t="str">
        <f>IF(D!K111="","",ROUND(D!K111,0))</f>
        <v/>
      </c>
      <c r="G108" s="80" t="str">
        <f>IF(E!K111="","",ROUND(E!K111,0))</f>
        <v/>
      </c>
      <c r="H108" s="80" t="str">
        <f>IF(F!K111="","",ROUND(F!K111,0))</f>
        <v/>
      </c>
      <c r="I108" s="80" t="str">
        <f>IF(G!K111="","",ROUND(G!K111,0))</f>
        <v/>
      </c>
      <c r="J108" s="33" t="str">
        <f>IF(H!K111="","",ROUND(H!K111,0))</f>
        <v/>
      </c>
    </row>
    <row r="109" spans="3:10" x14ac:dyDescent="0.2">
      <c r="C109" s="80" t="str">
        <f>IF(A!K112="","",ROUND(A!K112,0))</f>
        <v/>
      </c>
      <c r="D109" s="80" t="str">
        <f>IF(B!K112="","",ROUND(B!K112,0))</f>
        <v/>
      </c>
      <c r="E109" s="80" t="str">
        <f>IF('C'!K112="","",ROUND('C'!K112,0))</f>
        <v/>
      </c>
      <c r="F109" s="80" t="str">
        <f>IF(D!K112="","",ROUND(D!K112,0))</f>
        <v/>
      </c>
      <c r="G109" s="80" t="str">
        <f>IF(E!K112="","",ROUND(E!K112,0))</f>
        <v/>
      </c>
      <c r="H109" s="80" t="str">
        <f>IF(F!K112="","",ROUND(F!K112,0))</f>
        <v/>
      </c>
      <c r="I109" s="80" t="str">
        <f>IF(G!K112="","",ROUND(G!K112,0))</f>
        <v/>
      </c>
      <c r="J109" s="33" t="str">
        <f>IF(H!K112="","",ROUND(H!K112,0))</f>
        <v/>
      </c>
    </row>
    <row r="110" spans="3:10" x14ac:dyDescent="0.2">
      <c r="C110" s="80" t="str">
        <f>IF(A!K113="","",ROUND(A!K113,0))</f>
        <v/>
      </c>
      <c r="D110" s="80" t="str">
        <f>IF(B!K113="","",ROUND(B!K113,0))</f>
        <v/>
      </c>
      <c r="E110" s="80" t="str">
        <f>IF('C'!K113="","",ROUND('C'!K113,0))</f>
        <v/>
      </c>
      <c r="F110" s="80" t="str">
        <f>IF(D!K113="","",ROUND(D!K113,0))</f>
        <v/>
      </c>
      <c r="G110" s="80" t="str">
        <f>IF(E!K113="","",ROUND(E!K113,0))</f>
        <v/>
      </c>
      <c r="H110" s="80" t="str">
        <f>IF(F!K113="","",ROUND(F!K113,0))</f>
        <v/>
      </c>
      <c r="I110" s="80" t="str">
        <f>IF(G!K113="","",ROUND(G!K113,0))</f>
        <v/>
      </c>
      <c r="J110" s="33" t="str">
        <f>IF(H!K113="","",ROUND(H!K113,0))</f>
        <v/>
      </c>
    </row>
    <row r="111" spans="3:10" x14ac:dyDescent="0.2">
      <c r="C111" s="80" t="str">
        <f>IF(A!K114="","",ROUND(A!K114,0))</f>
        <v/>
      </c>
      <c r="D111" s="80" t="str">
        <f>IF(B!K114="","",ROUND(B!K114,0))</f>
        <v/>
      </c>
      <c r="E111" s="80" t="str">
        <f>IF('C'!K114="","",ROUND('C'!K114,0))</f>
        <v/>
      </c>
      <c r="F111" s="80" t="str">
        <f>IF(D!K114="","",ROUND(D!K114,0))</f>
        <v/>
      </c>
      <c r="G111" s="80" t="str">
        <f>IF(E!K114="","",ROUND(E!K114,0))</f>
        <v/>
      </c>
      <c r="H111" s="80" t="str">
        <f>IF(F!K114="","",ROUND(F!K114,0))</f>
        <v/>
      </c>
      <c r="I111" s="80" t="str">
        <f>IF(G!K114="","",ROUND(G!K114,0))</f>
        <v/>
      </c>
      <c r="J111" s="33" t="str">
        <f>IF(H!K114="","",ROUND(H!K114,0))</f>
        <v/>
      </c>
    </row>
    <row r="112" spans="3:10" x14ac:dyDescent="0.2">
      <c r="C112" s="80" t="str">
        <f>IF(A!K115="","",ROUND(A!K115,0))</f>
        <v/>
      </c>
      <c r="D112" s="80" t="str">
        <f>IF(B!K115="","",ROUND(B!K115,0))</f>
        <v/>
      </c>
      <c r="E112" s="80" t="str">
        <f>IF('C'!K115="","",ROUND('C'!K115,0))</f>
        <v/>
      </c>
      <c r="F112" s="80" t="str">
        <f>IF(D!K115="","",ROUND(D!K115,0))</f>
        <v/>
      </c>
      <c r="G112" s="80" t="str">
        <f>IF(E!K115="","",ROUND(E!K115,0))</f>
        <v/>
      </c>
      <c r="H112" s="80" t="str">
        <f>IF(F!K115="","",ROUND(F!K115,0))</f>
        <v/>
      </c>
      <c r="I112" s="80" t="str">
        <f>IF(G!K115="","",ROUND(G!K115,0))</f>
        <v/>
      </c>
      <c r="J112" s="33" t="str">
        <f>IF(H!K115="","",ROUND(H!K115,0))</f>
        <v/>
      </c>
    </row>
    <row r="113" spans="3:10" x14ac:dyDescent="0.2">
      <c r="C113" s="80" t="str">
        <f>IF(A!K116="","",ROUND(A!K116,0))</f>
        <v/>
      </c>
      <c r="D113" s="80" t="str">
        <f>IF(B!K116="","",ROUND(B!K116,0))</f>
        <v/>
      </c>
      <c r="E113" s="80" t="str">
        <f>IF('C'!K116="","",ROUND('C'!K116,0))</f>
        <v/>
      </c>
      <c r="F113" s="80" t="str">
        <f>IF(D!K116="","",ROUND(D!K116,0))</f>
        <v/>
      </c>
      <c r="G113" s="80" t="str">
        <f>IF(E!K116="","",ROUND(E!K116,0))</f>
        <v/>
      </c>
      <c r="H113" s="80" t="str">
        <f>IF(F!K116="","",ROUND(F!K116,0))</f>
        <v/>
      </c>
      <c r="I113" s="80" t="str">
        <f>IF(G!K116="","",ROUND(G!K116,0))</f>
        <v/>
      </c>
      <c r="J113" s="33" t="str">
        <f>IF(H!K116="","",ROUND(H!K116,0))</f>
        <v/>
      </c>
    </row>
    <row r="114" spans="3:10" x14ac:dyDescent="0.2">
      <c r="C114" s="80" t="str">
        <f>IF(A!K117="","",ROUND(A!K117,0))</f>
        <v/>
      </c>
      <c r="D114" s="80" t="str">
        <f>IF(B!K117="","",ROUND(B!K117,0))</f>
        <v/>
      </c>
      <c r="E114" s="80" t="str">
        <f>IF('C'!K117="","",ROUND('C'!K117,0))</f>
        <v/>
      </c>
      <c r="F114" s="80" t="str">
        <f>IF(D!K117="","",ROUND(D!K117,0))</f>
        <v/>
      </c>
      <c r="G114" s="80" t="str">
        <f>IF(E!K117="","",ROUND(E!K117,0))</f>
        <v/>
      </c>
      <c r="H114" s="80" t="str">
        <f>IF(F!K117="","",ROUND(F!K117,0))</f>
        <v/>
      </c>
      <c r="I114" s="80" t="str">
        <f>IF(G!K117="","",ROUND(G!K117,0))</f>
        <v/>
      </c>
      <c r="J114" s="33" t="str">
        <f>IF(H!K117="","",ROUND(H!K117,0))</f>
        <v/>
      </c>
    </row>
    <row r="115" spans="3:10" x14ac:dyDescent="0.2">
      <c r="C115" s="80" t="str">
        <f>IF(A!K118="","",ROUND(A!K118,0))</f>
        <v/>
      </c>
      <c r="D115" s="80" t="str">
        <f>IF(B!K118="","",ROUND(B!K118,0))</f>
        <v/>
      </c>
      <c r="E115" s="80" t="str">
        <f>IF('C'!K118="","",ROUND('C'!K118,0))</f>
        <v/>
      </c>
      <c r="F115" s="80" t="str">
        <f>IF(D!K118="","",ROUND(D!K118,0))</f>
        <v/>
      </c>
      <c r="G115" s="80" t="str">
        <f>IF(E!K118="","",ROUND(E!K118,0))</f>
        <v/>
      </c>
      <c r="H115" s="80" t="str">
        <f>IF(F!K118="","",ROUND(F!K118,0))</f>
        <v/>
      </c>
      <c r="I115" s="80" t="str">
        <f>IF(G!K118="","",ROUND(G!K118,0))</f>
        <v/>
      </c>
      <c r="J115" s="33" t="str">
        <f>IF(H!K118="","",ROUND(H!K118,0))</f>
        <v/>
      </c>
    </row>
    <row r="116" spans="3:10" x14ac:dyDescent="0.2">
      <c r="C116" s="80" t="str">
        <f>IF(A!K119="","",ROUND(A!K119,0))</f>
        <v/>
      </c>
      <c r="D116" s="80" t="str">
        <f>IF(B!K119="","",ROUND(B!K119,0))</f>
        <v/>
      </c>
      <c r="E116" s="80" t="str">
        <f>IF('C'!K119="","",ROUND('C'!K119,0))</f>
        <v/>
      </c>
      <c r="F116" s="80" t="str">
        <f>IF(D!K119="","",ROUND(D!K119,0))</f>
        <v/>
      </c>
      <c r="G116" s="80" t="str">
        <f>IF(E!K119="","",ROUND(E!K119,0))</f>
        <v/>
      </c>
      <c r="H116" s="80" t="str">
        <f>IF(F!K119="","",ROUND(F!K119,0))</f>
        <v/>
      </c>
      <c r="I116" s="80" t="str">
        <f>IF(G!K119="","",ROUND(G!K119,0))</f>
        <v/>
      </c>
      <c r="J116" s="33" t="str">
        <f>IF(H!K119="","",ROUND(H!K119,0))</f>
        <v/>
      </c>
    </row>
    <row r="117" spans="3:10" x14ac:dyDescent="0.2">
      <c r="C117" s="80" t="str">
        <f>IF(A!K120="","",ROUND(A!K120,0))</f>
        <v/>
      </c>
      <c r="D117" s="80" t="str">
        <f>IF(B!K120="","",ROUND(B!K120,0))</f>
        <v/>
      </c>
      <c r="E117" s="80" t="str">
        <f>IF('C'!K120="","",ROUND('C'!K120,0))</f>
        <v/>
      </c>
      <c r="F117" s="80" t="str">
        <f>IF(D!K120="","",ROUND(D!K120,0))</f>
        <v/>
      </c>
      <c r="G117" s="80" t="str">
        <f>IF(E!K120="","",ROUND(E!K120,0))</f>
        <v/>
      </c>
      <c r="H117" s="80" t="str">
        <f>IF(F!K120="","",ROUND(F!K120,0))</f>
        <v/>
      </c>
      <c r="I117" s="80" t="str">
        <f>IF(G!K120="","",ROUND(G!K120,0))</f>
        <v/>
      </c>
      <c r="J117" s="33" t="str">
        <f>IF(H!K120="","",ROUND(H!K120,0))</f>
        <v/>
      </c>
    </row>
    <row r="118" spans="3:10" x14ac:dyDescent="0.2">
      <c r="C118" s="80" t="str">
        <f>IF(A!K121="","",ROUND(A!K121,0))</f>
        <v/>
      </c>
      <c r="D118" s="80" t="str">
        <f>IF(B!K121="","",ROUND(B!K121,0))</f>
        <v/>
      </c>
      <c r="E118" s="80" t="str">
        <f>IF('C'!K121="","",ROUND('C'!K121,0))</f>
        <v/>
      </c>
      <c r="F118" s="80" t="str">
        <f>IF(D!K121="","",ROUND(D!K121,0))</f>
        <v/>
      </c>
      <c r="G118" s="80" t="str">
        <f>IF(E!K121="","",ROUND(E!K121,0))</f>
        <v/>
      </c>
      <c r="H118" s="80" t="str">
        <f>IF(F!K121="","",ROUND(F!K121,0))</f>
        <v/>
      </c>
      <c r="I118" s="80" t="str">
        <f>IF(G!K121="","",ROUND(G!K121,0))</f>
        <v/>
      </c>
      <c r="J118" s="33" t="str">
        <f>IF(H!K121="","",ROUND(H!K121,0))</f>
        <v/>
      </c>
    </row>
    <row r="119" spans="3:10" x14ac:dyDescent="0.2">
      <c r="C119" s="80" t="str">
        <f>IF(A!K122="","",ROUND(A!K122,0))</f>
        <v/>
      </c>
      <c r="D119" s="80" t="str">
        <f>IF(B!K122="","",ROUND(B!K122,0))</f>
        <v/>
      </c>
      <c r="E119" s="80" t="str">
        <f>IF('C'!K122="","",ROUND('C'!K122,0))</f>
        <v/>
      </c>
      <c r="F119" s="80" t="str">
        <f>IF(D!K122="","",ROUND(D!K122,0))</f>
        <v/>
      </c>
      <c r="G119" s="80" t="str">
        <f>IF(E!K122="","",ROUND(E!K122,0))</f>
        <v/>
      </c>
      <c r="H119" s="80" t="str">
        <f>IF(F!K122="","",ROUND(F!K122,0))</f>
        <v/>
      </c>
      <c r="I119" s="80" t="str">
        <f>IF(G!K122="","",ROUND(G!K122,0))</f>
        <v/>
      </c>
      <c r="J119" s="33" t="str">
        <f>IF(H!K122="","",ROUND(H!K122,0))</f>
        <v/>
      </c>
    </row>
    <row r="120" spans="3:10" x14ac:dyDescent="0.2">
      <c r="C120" s="80" t="str">
        <f>IF(A!K123="","",ROUND(A!K123,0))</f>
        <v/>
      </c>
      <c r="D120" s="80" t="str">
        <f>IF(B!K123="","",ROUND(B!K123,0))</f>
        <v/>
      </c>
      <c r="E120" s="80" t="str">
        <f>IF('C'!K123="","",ROUND('C'!K123,0))</f>
        <v/>
      </c>
      <c r="F120" s="80" t="str">
        <f>IF(D!K123="","",ROUND(D!K123,0))</f>
        <v/>
      </c>
      <c r="G120" s="80" t="str">
        <f>IF(E!K123="","",ROUND(E!K123,0))</f>
        <v/>
      </c>
      <c r="H120" s="80" t="str">
        <f>IF(F!K123="","",ROUND(F!K123,0))</f>
        <v/>
      </c>
      <c r="I120" s="80" t="str">
        <f>IF(G!K123="","",ROUND(G!K123,0))</f>
        <v/>
      </c>
      <c r="J120" s="33" t="str">
        <f>IF(H!K123="","",ROUND(H!K123,0))</f>
        <v/>
      </c>
    </row>
    <row r="121" spans="3:10" x14ac:dyDescent="0.2">
      <c r="C121" s="80" t="str">
        <f>IF(A!K124="","",ROUND(A!K124,0))</f>
        <v/>
      </c>
      <c r="D121" s="80" t="str">
        <f>IF(B!K124="","",ROUND(B!K124,0))</f>
        <v/>
      </c>
      <c r="E121" s="80" t="str">
        <f>IF('C'!K124="","",ROUND('C'!K124,0))</f>
        <v/>
      </c>
      <c r="F121" s="80" t="str">
        <f>IF(D!K124="","",ROUND(D!K124,0))</f>
        <v/>
      </c>
      <c r="G121" s="80" t="str">
        <f>IF(E!K124="","",ROUND(E!K124,0))</f>
        <v/>
      </c>
      <c r="H121" s="80" t="str">
        <f>IF(F!K124="","",ROUND(F!K124,0))</f>
        <v/>
      </c>
      <c r="I121" s="80" t="str">
        <f>IF(G!K124="","",ROUND(G!K124,0))</f>
        <v/>
      </c>
      <c r="J121" s="33" t="str">
        <f>IF(H!K124="","",ROUND(H!K124,0))</f>
        <v/>
      </c>
    </row>
    <row r="122" spans="3:10" x14ac:dyDescent="0.2">
      <c r="C122" s="80" t="str">
        <f>IF(A!K125="","",ROUND(A!K125,0))</f>
        <v/>
      </c>
      <c r="D122" s="80" t="str">
        <f>IF(B!K125="","",ROUND(B!K125,0))</f>
        <v/>
      </c>
      <c r="E122" s="80" t="str">
        <f>IF('C'!K125="","",ROUND('C'!K125,0))</f>
        <v/>
      </c>
      <c r="F122" s="80" t="str">
        <f>IF(D!K125="","",ROUND(D!K125,0))</f>
        <v/>
      </c>
      <c r="G122" s="80" t="str">
        <f>IF(E!K125="","",ROUND(E!K125,0))</f>
        <v/>
      </c>
      <c r="H122" s="80" t="str">
        <f>IF(F!K125="","",ROUND(F!K125,0))</f>
        <v/>
      </c>
      <c r="I122" s="80" t="str">
        <f>IF(G!K125="","",ROUND(G!K125,0))</f>
        <v/>
      </c>
      <c r="J122" s="33" t="str">
        <f>IF(H!K125="","",ROUND(H!K125,0))</f>
        <v/>
      </c>
    </row>
    <row r="123" spans="3:10" x14ac:dyDescent="0.2">
      <c r="C123" s="80" t="str">
        <f>IF(A!K126="","",ROUND(A!K126,0))</f>
        <v/>
      </c>
      <c r="D123" s="80" t="str">
        <f>IF(B!K126="","",ROUND(B!K126,0))</f>
        <v/>
      </c>
      <c r="E123" s="80" t="str">
        <f>IF('C'!K126="","",ROUND('C'!K126,0))</f>
        <v/>
      </c>
      <c r="F123" s="80" t="str">
        <f>IF(D!K126="","",ROUND(D!K126,0))</f>
        <v/>
      </c>
      <c r="G123" s="80" t="str">
        <f>IF(E!K126="","",ROUND(E!K126,0))</f>
        <v/>
      </c>
      <c r="H123" s="80" t="str">
        <f>IF(F!K126="","",ROUND(F!K126,0))</f>
        <v/>
      </c>
      <c r="I123" s="80" t="str">
        <f>IF(G!K126="","",ROUND(G!K126,0))</f>
        <v/>
      </c>
      <c r="J123" s="33" t="str">
        <f>IF(H!K126="","",ROUND(H!K126,0))</f>
        <v/>
      </c>
    </row>
    <row r="124" spans="3:10" x14ac:dyDescent="0.2">
      <c r="C124" s="80" t="str">
        <f>IF(A!K127="","",ROUND(A!K127,0))</f>
        <v/>
      </c>
      <c r="D124" s="80" t="str">
        <f>IF(B!K127="","",ROUND(B!K127,0))</f>
        <v/>
      </c>
      <c r="E124" s="80" t="str">
        <f>IF('C'!K127="","",ROUND('C'!K127,0))</f>
        <v/>
      </c>
      <c r="F124" s="80" t="str">
        <f>IF(D!K127="","",ROUND(D!K127,0))</f>
        <v/>
      </c>
      <c r="G124" s="80" t="str">
        <f>IF(E!K127="","",ROUND(E!K127,0))</f>
        <v/>
      </c>
      <c r="H124" s="80" t="str">
        <f>IF(F!K127="","",ROUND(F!K127,0))</f>
        <v/>
      </c>
      <c r="I124" s="80" t="str">
        <f>IF(G!K127="","",ROUND(G!K127,0))</f>
        <v/>
      </c>
      <c r="J124" s="33" t="str">
        <f>IF(H!K127="","",ROUND(H!K127,0))</f>
        <v/>
      </c>
    </row>
    <row r="125" spans="3:10" x14ac:dyDescent="0.2">
      <c r="C125" s="80" t="str">
        <f>IF(A!K128="","",ROUND(A!K128,0))</f>
        <v/>
      </c>
      <c r="D125" s="80" t="str">
        <f>IF(B!K128="","",ROUND(B!K128,0))</f>
        <v/>
      </c>
      <c r="E125" s="80" t="str">
        <f>IF('C'!K128="","",ROUND('C'!K128,0))</f>
        <v/>
      </c>
      <c r="F125" s="80" t="str">
        <f>IF(D!K128="","",ROUND(D!K128,0))</f>
        <v/>
      </c>
      <c r="G125" s="80" t="str">
        <f>IF(E!K128="","",ROUND(E!K128,0))</f>
        <v/>
      </c>
      <c r="H125" s="80" t="str">
        <f>IF(F!K128="","",ROUND(F!K128,0))</f>
        <v/>
      </c>
      <c r="I125" s="80" t="str">
        <f>IF(G!K128="","",ROUND(G!K128,0))</f>
        <v/>
      </c>
      <c r="J125" s="33" t="str">
        <f>IF(H!K128="","",ROUND(H!K128,0))</f>
        <v/>
      </c>
    </row>
    <row r="126" spans="3:10" x14ac:dyDescent="0.2">
      <c r="C126" s="80" t="str">
        <f>IF(A!K129="","",ROUND(A!K129,0))</f>
        <v/>
      </c>
      <c r="D126" s="80" t="str">
        <f>IF(B!K129="","",ROUND(B!K129,0))</f>
        <v/>
      </c>
      <c r="E126" s="80" t="str">
        <f>IF('C'!K129="","",ROUND('C'!K129,0))</f>
        <v/>
      </c>
      <c r="F126" s="80" t="str">
        <f>IF(D!K129="","",ROUND(D!K129,0))</f>
        <v/>
      </c>
      <c r="G126" s="80" t="str">
        <f>IF(E!K129="","",ROUND(E!K129,0))</f>
        <v/>
      </c>
      <c r="H126" s="80" t="str">
        <f>IF(F!K129="","",ROUND(F!K129,0))</f>
        <v/>
      </c>
      <c r="I126" s="80" t="str">
        <f>IF(G!K129="","",ROUND(G!K129,0))</f>
        <v/>
      </c>
      <c r="J126" s="33" t="str">
        <f>IF(H!K129="","",ROUND(H!K129,0))</f>
        <v/>
      </c>
    </row>
    <row r="127" spans="3:10" x14ac:dyDescent="0.2">
      <c r="C127" s="80" t="str">
        <f>IF(A!K130="","",ROUND(A!K130,0))</f>
        <v/>
      </c>
      <c r="D127" s="80" t="str">
        <f>IF(B!K130="","",ROUND(B!K130,0))</f>
        <v/>
      </c>
      <c r="E127" s="80" t="str">
        <f>IF('C'!K130="","",ROUND('C'!K130,0))</f>
        <v/>
      </c>
      <c r="F127" s="80" t="str">
        <f>IF(D!K130="","",ROUND(D!K130,0))</f>
        <v/>
      </c>
      <c r="G127" s="80" t="str">
        <f>IF(E!K130="","",ROUND(E!K130,0))</f>
        <v/>
      </c>
      <c r="H127" s="80" t="str">
        <f>IF(F!K130="","",ROUND(F!K130,0))</f>
        <v/>
      </c>
      <c r="I127" s="80" t="str">
        <f>IF(G!K130="","",ROUND(G!K130,0))</f>
        <v/>
      </c>
      <c r="J127" s="33" t="str">
        <f>IF(H!K130="","",ROUND(H!K130,0))</f>
        <v/>
      </c>
    </row>
    <row r="128" spans="3:10" x14ac:dyDescent="0.2">
      <c r="C128" s="80" t="str">
        <f>IF(A!K131="","",ROUND(A!K131,0))</f>
        <v/>
      </c>
      <c r="D128" s="80" t="str">
        <f>IF(B!K131="","",ROUND(B!K131,0))</f>
        <v/>
      </c>
      <c r="E128" s="80" t="str">
        <f>IF('C'!K131="","",ROUND('C'!K131,0))</f>
        <v/>
      </c>
      <c r="F128" s="80" t="str">
        <f>IF(D!K131="","",ROUND(D!K131,0))</f>
        <v/>
      </c>
      <c r="G128" s="80" t="str">
        <f>IF(E!K131="","",ROUND(E!K131,0))</f>
        <v/>
      </c>
      <c r="H128" s="80" t="str">
        <f>IF(F!K131="","",ROUND(F!K131,0))</f>
        <v/>
      </c>
      <c r="I128" s="80" t="str">
        <f>IF(G!K131="","",ROUND(G!K131,0))</f>
        <v/>
      </c>
      <c r="J128" s="33" t="str">
        <f>IF(H!K131="","",ROUND(H!K131,0))</f>
        <v/>
      </c>
    </row>
    <row r="129" spans="3:10" x14ac:dyDescent="0.2">
      <c r="C129" s="80" t="str">
        <f>IF(A!K132="","",ROUND(A!K132,0))</f>
        <v/>
      </c>
      <c r="D129" s="80" t="str">
        <f>IF(B!K132="","",ROUND(B!K132,0))</f>
        <v/>
      </c>
      <c r="E129" s="80" t="str">
        <f>IF('C'!K132="","",ROUND('C'!K132,0))</f>
        <v/>
      </c>
      <c r="F129" s="80" t="str">
        <f>IF(D!K132="","",ROUND(D!K132,0))</f>
        <v/>
      </c>
      <c r="G129" s="80" t="str">
        <f>IF(E!K132="","",ROUND(E!K132,0))</f>
        <v/>
      </c>
      <c r="H129" s="80" t="str">
        <f>IF(F!K132="","",ROUND(F!K132,0))</f>
        <v/>
      </c>
      <c r="I129" s="80" t="str">
        <f>IF(G!K132="","",ROUND(G!K132,0))</f>
        <v/>
      </c>
      <c r="J129" s="33" t="str">
        <f>IF(H!K132="","",ROUND(H!K132,0))</f>
        <v/>
      </c>
    </row>
    <row r="130" spans="3:10" x14ac:dyDescent="0.2">
      <c r="C130" s="80" t="str">
        <f>IF(A!K133="","",ROUND(A!K133,0))</f>
        <v/>
      </c>
      <c r="D130" s="80" t="str">
        <f>IF(B!K133="","",ROUND(B!K133,0))</f>
        <v/>
      </c>
      <c r="E130" s="80" t="str">
        <f>IF('C'!K133="","",ROUND('C'!K133,0))</f>
        <v/>
      </c>
      <c r="F130" s="80" t="str">
        <f>IF(D!K133="","",ROUND(D!K133,0))</f>
        <v/>
      </c>
      <c r="G130" s="80" t="str">
        <f>IF(E!K133="","",ROUND(E!K133,0))</f>
        <v/>
      </c>
      <c r="H130" s="80" t="str">
        <f>IF(F!K133="","",ROUND(F!K133,0))</f>
        <v/>
      </c>
      <c r="I130" s="80" t="str">
        <f>IF(G!K133="","",ROUND(G!K133,0))</f>
        <v/>
      </c>
      <c r="J130" s="33" t="str">
        <f>IF(H!K133="","",ROUND(H!K133,0))</f>
        <v/>
      </c>
    </row>
    <row r="131" spans="3:10" x14ac:dyDescent="0.2">
      <c r="C131" s="80" t="str">
        <f>IF(A!K134="","",ROUND(A!K134,0))</f>
        <v/>
      </c>
      <c r="D131" s="80" t="str">
        <f>IF(B!K134="","",ROUND(B!K134,0))</f>
        <v/>
      </c>
      <c r="E131" s="80" t="str">
        <f>IF('C'!K134="","",ROUND('C'!K134,0))</f>
        <v/>
      </c>
      <c r="F131" s="80" t="str">
        <f>IF(D!K134="","",ROUND(D!K134,0))</f>
        <v/>
      </c>
      <c r="G131" s="80" t="str">
        <f>IF(E!K134="","",ROUND(E!K134,0))</f>
        <v/>
      </c>
      <c r="H131" s="80" t="str">
        <f>IF(F!K134="","",ROUND(F!K134,0))</f>
        <v/>
      </c>
      <c r="I131" s="80" t="str">
        <f>IF(G!K134="","",ROUND(G!K134,0))</f>
        <v/>
      </c>
      <c r="J131" s="33" t="str">
        <f>IF(H!K134="","",ROUND(H!K134,0))</f>
        <v/>
      </c>
    </row>
    <row r="132" spans="3:10" x14ac:dyDescent="0.2">
      <c r="C132" s="80" t="str">
        <f>IF(A!K135="","",ROUND(A!K135,0))</f>
        <v/>
      </c>
      <c r="D132" s="80" t="str">
        <f>IF(B!K135="","",ROUND(B!K135,0))</f>
        <v/>
      </c>
      <c r="E132" s="80" t="str">
        <f>IF('C'!K135="","",ROUND('C'!K135,0))</f>
        <v/>
      </c>
      <c r="F132" s="80" t="str">
        <f>IF(D!K135="","",ROUND(D!K135,0))</f>
        <v/>
      </c>
      <c r="G132" s="80" t="str">
        <f>IF(E!K135="","",ROUND(E!K135,0))</f>
        <v/>
      </c>
      <c r="H132" s="80" t="str">
        <f>IF(F!K135="","",ROUND(F!K135,0))</f>
        <v/>
      </c>
      <c r="I132" s="80" t="str">
        <f>IF(G!K135="","",ROUND(G!K135,0))</f>
        <v/>
      </c>
      <c r="J132" s="33" t="str">
        <f>IF(H!K135="","",ROUND(H!K135,0))</f>
        <v/>
      </c>
    </row>
    <row r="133" spans="3:10" x14ac:dyDescent="0.2">
      <c r="C133" s="80" t="str">
        <f>IF(A!K136="","",ROUND(A!K136,0))</f>
        <v/>
      </c>
      <c r="D133" s="80" t="str">
        <f>IF(B!K136="","",ROUND(B!K136,0))</f>
        <v/>
      </c>
      <c r="E133" s="80" t="str">
        <f>IF('C'!K136="","",ROUND('C'!K136,0))</f>
        <v/>
      </c>
      <c r="F133" s="80" t="str">
        <f>IF(D!K136="","",ROUND(D!K136,0))</f>
        <v/>
      </c>
      <c r="G133" s="80" t="str">
        <f>IF(E!K136="","",ROUND(E!K136,0))</f>
        <v/>
      </c>
      <c r="H133" s="80" t="str">
        <f>IF(F!K136="","",ROUND(F!K136,0))</f>
        <v/>
      </c>
      <c r="I133" s="80" t="str">
        <f>IF(G!K136="","",ROUND(G!K136,0))</f>
        <v/>
      </c>
      <c r="J133" s="33" t="str">
        <f>IF(H!K136="","",ROUND(H!K136,0))</f>
        <v/>
      </c>
    </row>
    <row r="134" spans="3:10" x14ac:dyDescent="0.2">
      <c r="C134" s="80" t="str">
        <f>IF(A!K137="","",ROUND(A!K137,0))</f>
        <v/>
      </c>
      <c r="D134" s="80" t="str">
        <f>IF(B!K137="","",ROUND(B!K137,0))</f>
        <v/>
      </c>
      <c r="E134" s="80" t="str">
        <f>IF('C'!K137="","",ROUND('C'!K137,0))</f>
        <v/>
      </c>
      <c r="F134" s="80" t="str">
        <f>IF(D!K137="","",ROUND(D!K137,0))</f>
        <v/>
      </c>
      <c r="G134" s="80" t="str">
        <f>IF(E!K137="","",ROUND(E!K137,0))</f>
        <v/>
      </c>
      <c r="H134" s="80" t="str">
        <f>IF(F!K137="","",ROUND(F!K137,0))</f>
        <v/>
      </c>
      <c r="I134" s="80" t="str">
        <f>IF(G!K137="","",ROUND(G!K137,0))</f>
        <v/>
      </c>
      <c r="J134" s="33" t="str">
        <f>IF(H!K137="","",ROUND(H!K137,0))</f>
        <v/>
      </c>
    </row>
    <row r="135" spans="3:10" x14ac:dyDescent="0.2">
      <c r="C135" s="80" t="str">
        <f>IF(A!K138="","",ROUND(A!K138,0))</f>
        <v/>
      </c>
      <c r="D135" s="80" t="str">
        <f>IF(B!K138="","",ROUND(B!K138,0))</f>
        <v/>
      </c>
      <c r="E135" s="80" t="str">
        <f>IF('C'!K138="","",ROUND('C'!K138,0))</f>
        <v/>
      </c>
      <c r="F135" s="80" t="str">
        <f>IF(D!K138="","",ROUND(D!K138,0))</f>
        <v/>
      </c>
      <c r="G135" s="80" t="str">
        <f>IF(E!K138="","",ROUND(E!K138,0))</f>
        <v/>
      </c>
      <c r="H135" s="80" t="str">
        <f>IF(F!K138="","",ROUND(F!K138,0))</f>
        <v/>
      </c>
      <c r="I135" s="80" t="str">
        <f>IF(G!K138="","",ROUND(G!K138,0))</f>
        <v/>
      </c>
      <c r="J135" s="33" t="str">
        <f>IF(H!K138="","",ROUND(H!K138,0))</f>
        <v/>
      </c>
    </row>
    <row r="136" spans="3:10" x14ac:dyDescent="0.2">
      <c r="C136" s="80" t="str">
        <f>IF(A!K139="","",ROUND(A!K139,0))</f>
        <v/>
      </c>
      <c r="D136" s="80" t="str">
        <f>IF(B!K139="","",ROUND(B!K139,0))</f>
        <v/>
      </c>
      <c r="E136" s="80" t="str">
        <f>IF('C'!K139="","",ROUND('C'!K139,0))</f>
        <v/>
      </c>
      <c r="F136" s="80" t="str">
        <f>IF(D!K139="","",ROUND(D!K139,0))</f>
        <v/>
      </c>
      <c r="G136" s="80" t="str">
        <f>IF(E!K139="","",ROUND(E!K139,0))</f>
        <v/>
      </c>
      <c r="H136" s="80" t="str">
        <f>IF(F!K139="","",ROUND(F!K139,0))</f>
        <v/>
      </c>
      <c r="I136" s="80" t="str">
        <f>IF(G!K139="","",ROUND(G!K139,0))</f>
        <v/>
      </c>
      <c r="J136" s="33" t="str">
        <f>IF(H!K139="","",ROUND(H!K139,0))</f>
        <v/>
      </c>
    </row>
    <row r="137" spans="3:10" x14ac:dyDescent="0.2">
      <c r="C137" s="80" t="str">
        <f>IF(A!K140="","",ROUND(A!K140,0))</f>
        <v/>
      </c>
      <c r="D137" s="80" t="str">
        <f>IF(B!K140="","",ROUND(B!K140,0))</f>
        <v/>
      </c>
      <c r="E137" s="80" t="str">
        <f>IF('C'!K140="","",ROUND('C'!K140,0))</f>
        <v/>
      </c>
      <c r="F137" s="80" t="str">
        <f>IF(D!K140="","",ROUND(D!K140,0))</f>
        <v/>
      </c>
      <c r="G137" s="80" t="str">
        <f>IF(E!K140="","",ROUND(E!K140,0))</f>
        <v/>
      </c>
      <c r="H137" s="80" t="str">
        <f>IF(F!K140="","",ROUND(F!K140,0))</f>
        <v/>
      </c>
      <c r="I137" s="80" t="str">
        <f>IF(G!K140="","",ROUND(G!K140,0))</f>
        <v/>
      </c>
      <c r="J137" s="33" t="str">
        <f>IF(H!K140="","",ROUND(H!K140,0))</f>
        <v/>
      </c>
    </row>
    <row r="138" spans="3:10" x14ac:dyDescent="0.2">
      <c r="C138" s="80" t="str">
        <f>IF(A!K141="","",ROUND(A!K141,0))</f>
        <v/>
      </c>
      <c r="D138" s="80" t="str">
        <f>IF(B!K141="","",ROUND(B!K141,0))</f>
        <v/>
      </c>
      <c r="E138" s="80" t="str">
        <f>IF('C'!K141="","",ROUND('C'!K141,0))</f>
        <v/>
      </c>
      <c r="F138" s="80" t="str">
        <f>IF(D!K141="","",ROUND(D!K141,0))</f>
        <v/>
      </c>
      <c r="G138" s="80" t="str">
        <f>IF(E!K141="","",ROUND(E!K141,0))</f>
        <v/>
      </c>
      <c r="H138" s="80" t="str">
        <f>IF(F!K141="","",ROUND(F!K141,0))</f>
        <v/>
      </c>
      <c r="I138" s="80" t="str">
        <f>IF(G!K141="","",ROUND(G!K141,0))</f>
        <v/>
      </c>
      <c r="J138" s="33" t="str">
        <f>IF(H!K141="","",ROUND(H!K141,0))</f>
        <v/>
      </c>
    </row>
    <row r="139" spans="3:10" x14ac:dyDescent="0.2">
      <c r="C139" s="80" t="str">
        <f>IF(A!K142="","",ROUND(A!K142,0))</f>
        <v/>
      </c>
      <c r="D139" s="80" t="str">
        <f>IF(B!K142="","",ROUND(B!K142,0))</f>
        <v/>
      </c>
      <c r="E139" s="80" t="str">
        <f>IF('C'!K142="","",ROUND('C'!K142,0))</f>
        <v/>
      </c>
      <c r="F139" s="80" t="str">
        <f>IF(D!K142="","",ROUND(D!K142,0))</f>
        <v/>
      </c>
      <c r="G139" s="80" t="str">
        <f>IF(E!K142="","",ROUND(E!K142,0))</f>
        <v/>
      </c>
      <c r="H139" s="80" t="str">
        <f>IF(F!K142="","",ROUND(F!K142,0))</f>
        <v/>
      </c>
      <c r="I139" s="80" t="str">
        <f>IF(G!K142="","",ROUND(G!K142,0))</f>
        <v/>
      </c>
      <c r="J139" s="33" t="str">
        <f>IF(H!K142="","",ROUND(H!K142,0))</f>
        <v/>
      </c>
    </row>
    <row r="140" spans="3:10" x14ac:dyDescent="0.2">
      <c r="C140" s="80" t="str">
        <f>IF(A!K143="","",ROUND(A!K143,0))</f>
        <v/>
      </c>
      <c r="D140" s="80" t="str">
        <f>IF(B!K143="","",ROUND(B!K143,0))</f>
        <v/>
      </c>
      <c r="E140" s="80" t="str">
        <f>IF('C'!K143="","",ROUND('C'!K143,0))</f>
        <v/>
      </c>
      <c r="F140" s="80" t="str">
        <f>IF(D!K143="","",ROUND(D!K143,0))</f>
        <v/>
      </c>
      <c r="G140" s="80" t="str">
        <f>IF(E!K143="","",ROUND(E!K143,0))</f>
        <v/>
      </c>
      <c r="H140" s="80" t="str">
        <f>IF(F!K143="","",ROUND(F!K143,0))</f>
        <v/>
      </c>
      <c r="I140" s="80" t="str">
        <f>IF(G!K143="","",ROUND(G!K143,0))</f>
        <v/>
      </c>
      <c r="J140" s="33" t="str">
        <f>IF(H!K143="","",ROUND(H!K143,0))</f>
        <v/>
      </c>
    </row>
    <row r="141" spans="3:10" x14ac:dyDescent="0.2">
      <c r="C141" s="80" t="str">
        <f>IF(A!K144="","",ROUND(A!K144,0))</f>
        <v/>
      </c>
      <c r="D141" s="80" t="str">
        <f>IF(B!K144="","",ROUND(B!K144,0))</f>
        <v/>
      </c>
      <c r="E141" s="80" t="str">
        <f>IF('C'!K144="","",ROUND('C'!K144,0))</f>
        <v/>
      </c>
      <c r="F141" s="80" t="str">
        <f>IF(D!K144="","",ROUND(D!K144,0))</f>
        <v/>
      </c>
      <c r="G141" s="80" t="str">
        <f>IF(E!K144="","",ROUND(E!K144,0))</f>
        <v/>
      </c>
      <c r="H141" s="80" t="str">
        <f>IF(F!K144="","",ROUND(F!K144,0))</f>
        <v/>
      </c>
      <c r="I141" s="80" t="str">
        <f>IF(G!K144="","",ROUND(G!K144,0))</f>
        <v/>
      </c>
      <c r="J141" s="33" t="str">
        <f>IF(H!K144="","",ROUND(H!K144,0))</f>
        <v/>
      </c>
    </row>
    <row r="142" spans="3:10" x14ac:dyDescent="0.2">
      <c r="C142" s="80" t="str">
        <f>IF(A!K145="","",ROUND(A!K145,0))</f>
        <v/>
      </c>
      <c r="D142" s="80" t="str">
        <f>IF(B!K145="","",ROUND(B!K145,0))</f>
        <v/>
      </c>
      <c r="E142" s="80" t="str">
        <f>IF('C'!K145="","",ROUND('C'!K145,0))</f>
        <v/>
      </c>
      <c r="F142" s="80" t="str">
        <f>IF(D!K145="","",ROUND(D!K145,0))</f>
        <v/>
      </c>
      <c r="G142" s="80" t="str">
        <f>IF(E!K145="","",ROUND(E!K145,0))</f>
        <v/>
      </c>
      <c r="H142" s="80" t="str">
        <f>IF(F!K145="","",ROUND(F!K145,0))</f>
        <v/>
      </c>
      <c r="I142" s="80" t="str">
        <f>IF(G!K145="","",ROUND(G!K145,0))</f>
        <v/>
      </c>
      <c r="J142" s="33" t="str">
        <f>IF(H!K145="","",ROUND(H!K145,0))</f>
        <v/>
      </c>
    </row>
    <row r="143" spans="3:10" x14ac:dyDescent="0.2">
      <c r="C143" s="80" t="str">
        <f>IF(A!K146="","",ROUND(A!K146,0))</f>
        <v/>
      </c>
      <c r="D143" s="80" t="str">
        <f>IF(B!K146="","",ROUND(B!K146,0))</f>
        <v/>
      </c>
      <c r="E143" s="80" t="str">
        <f>IF('C'!K146="","",ROUND('C'!K146,0))</f>
        <v/>
      </c>
      <c r="F143" s="80" t="str">
        <f>IF(D!K146="","",ROUND(D!K146,0))</f>
        <v/>
      </c>
      <c r="G143" s="80" t="str">
        <f>IF(E!K146="","",ROUND(E!K146,0))</f>
        <v/>
      </c>
      <c r="H143" s="80" t="str">
        <f>IF(F!K146="","",ROUND(F!K146,0))</f>
        <v/>
      </c>
      <c r="I143" s="80" t="str">
        <f>IF(G!K146="","",ROUND(G!K146,0))</f>
        <v/>
      </c>
      <c r="J143" s="33" t="str">
        <f>IF(H!K146="","",ROUND(H!K146,0))</f>
        <v/>
      </c>
    </row>
    <row r="144" spans="3:10" x14ac:dyDescent="0.2">
      <c r="C144" s="80" t="str">
        <f>IF(A!K147="","",ROUND(A!K147,0))</f>
        <v/>
      </c>
      <c r="D144" s="80" t="str">
        <f>IF(B!K147="","",ROUND(B!K147,0))</f>
        <v/>
      </c>
      <c r="E144" s="80" t="str">
        <f>IF('C'!K147="","",ROUND('C'!K147,0))</f>
        <v/>
      </c>
      <c r="F144" s="80" t="str">
        <f>IF(D!K147="","",ROUND(D!K147,0))</f>
        <v/>
      </c>
      <c r="G144" s="80" t="str">
        <f>IF(E!K147="","",ROUND(E!K147,0))</f>
        <v/>
      </c>
      <c r="H144" s="80" t="str">
        <f>IF(F!K147="","",ROUND(F!K147,0))</f>
        <v/>
      </c>
      <c r="I144" s="80" t="str">
        <f>IF(G!K147="","",ROUND(G!K147,0))</f>
        <v/>
      </c>
      <c r="J144" s="33" t="str">
        <f>IF(H!K147="","",ROUND(H!K147,0))</f>
        <v/>
      </c>
    </row>
    <row r="145" spans="3:10" x14ac:dyDescent="0.2">
      <c r="C145" s="80" t="str">
        <f>IF(A!K148="","",ROUND(A!K148,0))</f>
        <v/>
      </c>
      <c r="D145" s="80" t="str">
        <f>IF(B!K148="","",ROUND(B!K148,0))</f>
        <v/>
      </c>
      <c r="E145" s="80" t="str">
        <f>IF('C'!K148="","",ROUND('C'!K148,0))</f>
        <v/>
      </c>
      <c r="F145" s="80" t="str">
        <f>IF(D!K148="","",ROUND(D!K148,0))</f>
        <v/>
      </c>
      <c r="G145" s="80" t="str">
        <f>IF(E!K148="","",ROUND(E!K148,0))</f>
        <v/>
      </c>
      <c r="H145" s="80" t="str">
        <f>IF(F!K148="","",ROUND(F!K148,0))</f>
        <v/>
      </c>
      <c r="I145" s="80" t="str">
        <f>IF(G!K148="","",ROUND(G!K148,0))</f>
        <v/>
      </c>
      <c r="J145" s="33" t="str">
        <f>IF(H!K148="","",ROUND(H!K148,0))</f>
        <v/>
      </c>
    </row>
    <row r="146" spans="3:10" x14ac:dyDescent="0.2">
      <c r="C146" s="80" t="str">
        <f>IF(A!K149="","",ROUND(A!K149,0))</f>
        <v/>
      </c>
      <c r="D146" s="80" t="str">
        <f>IF(B!K149="","",ROUND(B!K149,0))</f>
        <v/>
      </c>
      <c r="E146" s="80" t="str">
        <f>IF('C'!K149="","",ROUND('C'!K149,0))</f>
        <v/>
      </c>
      <c r="F146" s="80" t="str">
        <f>IF(D!K149="","",ROUND(D!K149,0))</f>
        <v/>
      </c>
      <c r="G146" s="80" t="str">
        <f>IF(E!K149="","",ROUND(E!K149,0))</f>
        <v/>
      </c>
      <c r="H146" s="80" t="str">
        <f>IF(F!K149="","",ROUND(F!K149,0))</f>
        <v/>
      </c>
      <c r="I146" s="80" t="str">
        <f>IF(G!K149="","",ROUND(G!K149,0))</f>
        <v/>
      </c>
      <c r="J146" s="33" t="str">
        <f>IF(H!K149="","",ROUND(H!K149,0))</f>
        <v/>
      </c>
    </row>
    <row r="147" spans="3:10" x14ac:dyDescent="0.2">
      <c r="C147" s="80" t="str">
        <f>IF(A!K150="","",ROUND(A!K150,0))</f>
        <v/>
      </c>
      <c r="D147" s="80" t="str">
        <f>IF(B!K150="","",ROUND(B!K150,0))</f>
        <v/>
      </c>
      <c r="E147" s="80" t="str">
        <f>IF('C'!K150="","",ROUND('C'!K150,0))</f>
        <v/>
      </c>
      <c r="F147" s="80" t="str">
        <f>IF(D!K150="","",ROUND(D!K150,0))</f>
        <v/>
      </c>
      <c r="G147" s="80" t="str">
        <f>IF(E!K150="","",ROUND(E!K150,0))</f>
        <v/>
      </c>
      <c r="H147" s="80" t="str">
        <f>IF(F!K150="","",ROUND(F!K150,0))</f>
        <v/>
      </c>
      <c r="I147" s="80" t="str">
        <f>IF(G!K150="","",ROUND(G!K150,0))</f>
        <v/>
      </c>
      <c r="J147" s="33" t="str">
        <f>IF(H!K150="","",ROUND(H!K150,0))</f>
        <v/>
      </c>
    </row>
    <row r="148" spans="3:10" x14ac:dyDescent="0.2">
      <c r="C148" s="80" t="str">
        <f>IF(A!K151="","",ROUND(A!K151,0))</f>
        <v/>
      </c>
      <c r="D148" s="80" t="str">
        <f>IF(B!K151="","",ROUND(B!K151,0))</f>
        <v/>
      </c>
      <c r="E148" s="80" t="str">
        <f>IF('C'!K151="","",ROUND('C'!K151,0))</f>
        <v/>
      </c>
      <c r="F148" s="80" t="str">
        <f>IF(D!K151="","",ROUND(D!K151,0))</f>
        <v/>
      </c>
      <c r="G148" s="80" t="str">
        <f>IF(E!K151="","",ROUND(E!K151,0))</f>
        <v/>
      </c>
      <c r="H148" s="80" t="str">
        <f>IF(F!K151="","",ROUND(F!K151,0))</f>
        <v/>
      </c>
      <c r="I148" s="80" t="str">
        <f>IF(G!K151="","",ROUND(G!K151,0))</f>
        <v/>
      </c>
      <c r="J148" s="33" t="str">
        <f>IF(H!K151="","",ROUND(H!K151,0))</f>
        <v/>
      </c>
    </row>
    <row r="149" spans="3:10" x14ac:dyDescent="0.2">
      <c r="C149" s="80" t="str">
        <f>IF(A!K152="","",ROUND(A!K152,0))</f>
        <v/>
      </c>
      <c r="D149" s="80" t="str">
        <f>IF(B!K152="","",ROUND(B!K152,0))</f>
        <v/>
      </c>
      <c r="E149" s="80" t="str">
        <f>IF('C'!K152="","",ROUND('C'!K152,0))</f>
        <v/>
      </c>
      <c r="F149" s="80" t="str">
        <f>IF(D!K152="","",ROUND(D!K152,0))</f>
        <v/>
      </c>
      <c r="G149" s="80" t="str">
        <f>IF(E!K152="","",ROUND(E!K152,0))</f>
        <v/>
      </c>
      <c r="H149" s="80" t="str">
        <f>IF(F!K152="","",ROUND(F!K152,0))</f>
        <v/>
      </c>
      <c r="I149" s="80" t="str">
        <f>IF(G!K152="","",ROUND(G!K152,0))</f>
        <v/>
      </c>
      <c r="J149" s="33" t="str">
        <f>IF(H!K152="","",ROUND(H!K152,0))</f>
        <v/>
      </c>
    </row>
    <row r="150" spans="3:10" x14ac:dyDescent="0.2">
      <c r="C150" s="80" t="str">
        <f>IF(A!K153="","",ROUND(A!K153,0))</f>
        <v/>
      </c>
      <c r="D150" s="80" t="str">
        <f>IF(B!K153="","",ROUND(B!K153,0))</f>
        <v/>
      </c>
      <c r="E150" s="80" t="str">
        <f>IF('C'!K153="","",ROUND('C'!K153,0))</f>
        <v/>
      </c>
      <c r="F150" s="80" t="str">
        <f>IF(D!K153="","",ROUND(D!K153,0))</f>
        <v/>
      </c>
      <c r="G150" s="80" t="str">
        <f>IF(E!K153="","",ROUND(E!K153,0))</f>
        <v/>
      </c>
      <c r="H150" s="80" t="str">
        <f>IF(F!K153="","",ROUND(F!K153,0))</f>
        <v/>
      </c>
      <c r="I150" s="80" t="str">
        <f>IF(G!K153="","",ROUND(G!K153,0))</f>
        <v/>
      </c>
      <c r="J150" s="33" t="str">
        <f>IF(H!K153="","",ROUND(H!K153,0))</f>
        <v/>
      </c>
    </row>
    <row r="151" spans="3:10" x14ac:dyDescent="0.2">
      <c r="C151" s="80" t="str">
        <f>IF(A!K154="","",ROUND(A!K154,0))</f>
        <v/>
      </c>
      <c r="D151" s="80" t="str">
        <f>IF(B!K154="","",ROUND(B!K154,0))</f>
        <v/>
      </c>
      <c r="E151" s="80" t="str">
        <f>IF('C'!K154="","",ROUND('C'!K154,0))</f>
        <v/>
      </c>
      <c r="F151" s="80" t="str">
        <f>IF(D!K154="","",ROUND(D!K154,0))</f>
        <v/>
      </c>
      <c r="G151" s="80" t="str">
        <f>IF(E!K154="","",ROUND(E!K154,0))</f>
        <v/>
      </c>
      <c r="H151" s="80" t="str">
        <f>IF(F!K154="","",ROUND(F!K154,0))</f>
        <v/>
      </c>
      <c r="I151" s="80" t="str">
        <f>IF(G!K154="","",ROUND(G!K154,0))</f>
        <v/>
      </c>
      <c r="J151" s="33" t="str">
        <f>IF(H!K154="","",ROUND(H!K154,0))</f>
        <v/>
      </c>
    </row>
    <row r="152" spans="3:10" x14ac:dyDescent="0.2">
      <c r="C152" s="80" t="str">
        <f>IF(A!K155="","",ROUND(A!K155,0))</f>
        <v/>
      </c>
      <c r="D152" s="80" t="str">
        <f>IF(B!K155="","",ROUND(B!K155,0))</f>
        <v/>
      </c>
      <c r="E152" s="80" t="str">
        <f>IF('C'!K155="","",ROUND('C'!K155,0))</f>
        <v/>
      </c>
      <c r="F152" s="80" t="str">
        <f>IF(D!K155="","",ROUND(D!K155,0))</f>
        <v/>
      </c>
      <c r="G152" s="80" t="str">
        <f>IF(E!K155="","",ROUND(E!K155,0))</f>
        <v/>
      </c>
      <c r="H152" s="80" t="str">
        <f>IF(F!K155="","",ROUND(F!K155,0))</f>
        <v/>
      </c>
      <c r="I152" s="80" t="str">
        <f>IF(G!K155="","",ROUND(G!K155,0))</f>
        <v/>
      </c>
      <c r="J152" s="33" t="str">
        <f>IF(H!K155="","",ROUND(H!K155,0))</f>
        <v/>
      </c>
    </row>
    <row r="153" spans="3:10" x14ac:dyDescent="0.2">
      <c r="C153" s="80" t="str">
        <f>IF(A!K156="","",ROUND(A!K156,0))</f>
        <v/>
      </c>
      <c r="D153" s="80" t="str">
        <f>IF(B!K156="","",ROUND(B!K156,0))</f>
        <v/>
      </c>
      <c r="E153" s="80" t="str">
        <f>IF('C'!K156="","",ROUND('C'!K156,0))</f>
        <v/>
      </c>
      <c r="F153" s="80" t="str">
        <f>IF(D!K156="","",ROUND(D!K156,0))</f>
        <v/>
      </c>
      <c r="G153" s="80" t="str">
        <f>IF(E!K156="","",ROUND(E!K156,0))</f>
        <v/>
      </c>
      <c r="H153" s="80" t="str">
        <f>IF(F!K156="","",ROUND(F!K156,0))</f>
        <v/>
      </c>
      <c r="I153" s="80" t="str">
        <f>IF(G!K156="","",ROUND(G!K156,0))</f>
        <v/>
      </c>
      <c r="J153" s="33" t="str">
        <f>IF(H!K156="","",ROUND(H!K156,0))</f>
        <v/>
      </c>
    </row>
    <row r="154" spans="3:10" x14ac:dyDescent="0.2">
      <c r="C154" s="80" t="str">
        <f>IF(A!K157="","",ROUND(A!K157,0))</f>
        <v/>
      </c>
      <c r="D154" s="80" t="str">
        <f>IF(B!K157="","",ROUND(B!K157,0))</f>
        <v/>
      </c>
      <c r="E154" s="80" t="str">
        <f>IF('C'!K157="","",ROUND('C'!K157,0))</f>
        <v/>
      </c>
      <c r="F154" s="80" t="str">
        <f>IF(D!K157="","",ROUND(D!K157,0))</f>
        <v/>
      </c>
      <c r="G154" s="80" t="str">
        <f>IF(E!K157="","",ROUND(E!K157,0))</f>
        <v/>
      </c>
      <c r="H154" s="80" t="str">
        <f>IF(F!K157="","",ROUND(F!K157,0))</f>
        <v/>
      </c>
      <c r="I154" s="80" t="str">
        <f>IF(G!K157="","",ROUND(G!K157,0))</f>
        <v/>
      </c>
      <c r="J154" s="33" t="str">
        <f>IF(H!K157="","",ROUND(H!K157,0))</f>
        <v/>
      </c>
    </row>
    <row r="155" spans="3:10" x14ac:dyDescent="0.2">
      <c r="C155" s="80" t="str">
        <f>IF(A!K158="","",ROUND(A!K158,0))</f>
        <v/>
      </c>
      <c r="D155" s="80" t="str">
        <f>IF(B!K158="","",ROUND(B!K158,0))</f>
        <v/>
      </c>
      <c r="E155" s="80" t="str">
        <f>IF('C'!K158="","",ROUND('C'!K158,0))</f>
        <v/>
      </c>
      <c r="F155" s="80" t="str">
        <f>IF(D!K158="","",ROUND(D!K158,0))</f>
        <v/>
      </c>
      <c r="G155" s="80" t="str">
        <f>IF(E!K158="","",ROUND(E!K158,0))</f>
        <v/>
      </c>
      <c r="H155" s="80" t="str">
        <f>IF(F!K158="","",ROUND(F!K158,0))</f>
        <v/>
      </c>
      <c r="I155" s="80" t="str">
        <f>IF(G!K158="","",ROUND(G!K158,0))</f>
        <v/>
      </c>
      <c r="J155" s="33" t="str">
        <f>IF(H!K158="","",ROUND(H!K158,0))</f>
        <v/>
      </c>
    </row>
    <row r="156" spans="3:10" x14ac:dyDescent="0.2">
      <c r="C156" s="80" t="str">
        <f>IF(A!K159="","",ROUND(A!K159,0))</f>
        <v/>
      </c>
      <c r="D156" s="80" t="str">
        <f>IF(B!K159="","",ROUND(B!K159,0))</f>
        <v/>
      </c>
      <c r="E156" s="80" t="str">
        <f>IF('C'!K159="","",ROUND('C'!K159,0))</f>
        <v/>
      </c>
      <c r="F156" s="80" t="str">
        <f>IF(D!K159="","",ROUND(D!K159,0))</f>
        <v/>
      </c>
      <c r="G156" s="80" t="str">
        <f>IF(E!K159="","",ROUND(E!K159,0))</f>
        <v/>
      </c>
      <c r="H156" s="80" t="str">
        <f>IF(F!K159="","",ROUND(F!K159,0))</f>
        <v/>
      </c>
      <c r="I156" s="80" t="str">
        <f>IF(G!K159="","",ROUND(G!K159,0))</f>
        <v/>
      </c>
      <c r="J156" s="33" t="str">
        <f>IF(H!K159="","",ROUND(H!K159,0))</f>
        <v/>
      </c>
    </row>
    <row r="157" spans="3:10" x14ac:dyDescent="0.2">
      <c r="C157" s="80"/>
    </row>
    <row r="158" spans="3:10" x14ac:dyDescent="0.2">
      <c r="C158" s="80"/>
    </row>
    <row r="159" spans="3:10" x14ac:dyDescent="0.2">
      <c r="C159" s="80"/>
    </row>
    <row r="160" spans="3:10" x14ac:dyDescent="0.2">
      <c r="C160" s="80"/>
    </row>
    <row r="161" spans="3:3" x14ac:dyDescent="0.2">
      <c r="C161" s="80"/>
    </row>
    <row r="162" spans="3:3" x14ac:dyDescent="0.2">
      <c r="C162" s="80"/>
    </row>
    <row r="163" spans="3:3" x14ac:dyDescent="0.2">
      <c r="C163" s="80"/>
    </row>
    <row r="164" spans="3:3" x14ac:dyDescent="0.2">
      <c r="C164" s="80"/>
    </row>
    <row r="165" spans="3:3" x14ac:dyDescent="0.2">
      <c r="C165" s="80"/>
    </row>
    <row r="166" spans="3:3" x14ac:dyDescent="0.2">
      <c r="C166" s="80"/>
    </row>
    <row r="167" spans="3:3" x14ac:dyDescent="0.2">
      <c r="C167" s="80"/>
    </row>
    <row r="168" spans="3:3" x14ac:dyDescent="0.2">
      <c r="C168" s="80"/>
    </row>
    <row r="169" spans="3:3" x14ac:dyDescent="0.2">
      <c r="C169" s="80"/>
    </row>
    <row r="170" spans="3:3" x14ac:dyDescent="0.2">
      <c r="C170" s="80"/>
    </row>
    <row r="171" spans="3:3" x14ac:dyDescent="0.2">
      <c r="C171" s="80"/>
    </row>
    <row r="172" spans="3:3" x14ac:dyDescent="0.2">
      <c r="C172" s="80"/>
    </row>
    <row r="173" spans="3:3" x14ac:dyDescent="0.2">
      <c r="C173" s="80"/>
    </row>
    <row r="174" spans="3:3" x14ac:dyDescent="0.2">
      <c r="C174" s="80"/>
    </row>
    <row r="175" spans="3:3" x14ac:dyDescent="0.2">
      <c r="C175" s="80"/>
    </row>
    <row r="176" spans="3:3" x14ac:dyDescent="0.2">
      <c r="C176" s="80"/>
    </row>
    <row r="177" spans="3:3" x14ac:dyDescent="0.2">
      <c r="C177" s="80"/>
    </row>
    <row r="178" spans="3:3" x14ac:dyDescent="0.2">
      <c r="C178" s="80"/>
    </row>
    <row r="179" spans="3:3" x14ac:dyDescent="0.2">
      <c r="C179" s="80"/>
    </row>
    <row r="180" spans="3:3" x14ac:dyDescent="0.2">
      <c r="C180" s="80"/>
    </row>
    <row r="181" spans="3:3" x14ac:dyDescent="0.2">
      <c r="C181" s="80"/>
    </row>
    <row r="182" spans="3:3" x14ac:dyDescent="0.2">
      <c r="C182" s="80"/>
    </row>
    <row r="183" spans="3:3" x14ac:dyDescent="0.2">
      <c r="C183" s="80"/>
    </row>
    <row r="184" spans="3:3" x14ac:dyDescent="0.2">
      <c r="C184" s="80"/>
    </row>
    <row r="185" spans="3:3" x14ac:dyDescent="0.2">
      <c r="C185" s="80"/>
    </row>
    <row r="186" spans="3:3" x14ac:dyDescent="0.2">
      <c r="C186" s="80"/>
    </row>
    <row r="187" spans="3:3" x14ac:dyDescent="0.2">
      <c r="C187" s="80"/>
    </row>
    <row r="188" spans="3:3" x14ac:dyDescent="0.2">
      <c r="C188" s="80"/>
    </row>
    <row r="189" spans="3:3" x14ac:dyDescent="0.2">
      <c r="C189" s="80"/>
    </row>
    <row r="190" spans="3:3" x14ac:dyDescent="0.2">
      <c r="C190" s="80"/>
    </row>
    <row r="191" spans="3:3" x14ac:dyDescent="0.2">
      <c r="C191" s="80"/>
    </row>
    <row r="192" spans="3:3" x14ac:dyDescent="0.2">
      <c r="C192" s="80"/>
    </row>
    <row r="193" spans="3:3" x14ac:dyDescent="0.2">
      <c r="C193" s="80"/>
    </row>
    <row r="194" spans="3:3" x14ac:dyDescent="0.2">
      <c r="C194" s="80"/>
    </row>
    <row r="195" spans="3:3" x14ac:dyDescent="0.2">
      <c r="C195" s="80"/>
    </row>
    <row r="196" spans="3:3" x14ac:dyDescent="0.2">
      <c r="C196" s="80"/>
    </row>
    <row r="197" spans="3:3" x14ac:dyDescent="0.2">
      <c r="C197" s="80"/>
    </row>
    <row r="198" spans="3:3" x14ac:dyDescent="0.2">
      <c r="C198" s="80"/>
    </row>
    <row r="199" spans="3:3" x14ac:dyDescent="0.2">
      <c r="C199" s="80"/>
    </row>
    <row r="200" spans="3:3" x14ac:dyDescent="0.2">
      <c r="C200" s="80"/>
    </row>
    <row r="201" spans="3:3" x14ac:dyDescent="0.2">
      <c r="C201" s="80"/>
    </row>
    <row r="202" spans="3:3" x14ac:dyDescent="0.2">
      <c r="C202" s="80"/>
    </row>
    <row r="203" spans="3:3" x14ac:dyDescent="0.2">
      <c r="C203" s="80"/>
    </row>
    <row r="204" spans="3:3" x14ac:dyDescent="0.2">
      <c r="C204" s="80"/>
    </row>
    <row r="205" spans="3:3" x14ac:dyDescent="0.2">
      <c r="C205" s="80"/>
    </row>
    <row r="206" spans="3:3" x14ac:dyDescent="0.2">
      <c r="C206" s="80"/>
    </row>
    <row r="207" spans="3:3" x14ac:dyDescent="0.2">
      <c r="C207" s="80"/>
    </row>
    <row r="208" spans="3:3" x14ac:dyDescent="0.2">
      <c r="C208" s="80"/>
    </row>
    <row r="209" spans="3:3" x14ac:dyDescent="0.2">
      <c r="C209" s="80"/>
    </row>
    <row r="210" spans="3:3" x14ac:dyDescent="0.2">
      <c r="C210" s="80"/>
    </row>
    <row r="211" spans="3:3" x14ac:dyDescent="0.2">
      <c r="C211" s="80"/>
    </row>
    <row r="212" spans="3:3" x14ac:dyDescent="0.2">
      <c r="C212" s="80"/>
    </row>
    <row r="213" spans="3:3" x14ac:dyDescent="0.2">
      <c r="C213" s="80"/>
    </row>
    <row r="214" spans="3:3" x14ac:dyDescent="0.2">
      <c r="C214" s="80"/>
    </row>
    <row r="215" spans="3:3" x14ac:dyDescent="0.2">
      <c r="C215" s="80"/>
    </row>
    <row r="216" spans="3:3" x14ac:dyDescent="0.2">
      <c r="C216" s="80"/>
    </row>
    <row r="217" spans="3:3" x14ac:dyDescent="0.2">
      <c r="C217" s="80"/>
    </row>
    <row r="218" spans="3:3" x14ac:dyDescent="0.2">
      <c r="C218" s="80"/>
    </row>
    <row r="219" spans="3:3" x14ac:dyDescent="0.2">
      <c r="C219" s="80"/>
    </row>
    <row r="220" spans="3:3" x14ac:dyDescent="0.2">
      <c r="C220" s="80"/>
    </row>
    <row r="221" spans="3:3" x14ac:dyDescent="0.2">
      <c r="C221" s="80"/>
    </row>
    <row r="222" spans="3:3" x14ac:dyDescent="0.2">
      <c r="C222" s="80"/>
    </row>
    <row r="223" spans="3:3" x14ac:dyDescent="0.2">
      <c r="C223" s="80"/>
    </row>
    <row r="224" spans="3:3" x14ac:dyDescent="0.2">
      <c r="C224" s="80"/>
    </row>
    <row r="225" spans="3:3" x14ac:dyDescent="0.2">
      <c r="C225" s="80"/>
    </row>
    <row r="226" spans="3:3" x14ac:dyDescent="0.2">
      <c r="C226" s="80"/>
    </row>
    <row r="227" spans="3:3" x14ac:dyDescent="0.2">
      <c r="C227" s="80"/>
    </row>
    <row r="228" spans="3:3" x14ac:dyDescent="0.2">
      <c r="C228" s="80"/>
    </row>
    <row r="229" spans="3:3" x14ac:dyDescent="0.2">
      <c r="C229" s="80"/>
    </row>
    <row r="230" spans="3:3" x14ac:dyDescent="0.2">
      <c r="C230" s="80"/>
    </row>
    <row r="231" spans="3:3" x14ac:dyDescent="0.2">
      <c r="C231" s="80"/>
    </row>
    <row r="232" spans="3:3" x14ac:dyDescent="0.2">
      <c r="C232" s="80"/>
    </row>
    <row r="233" spans="3:3" x14ac:dyDescent="0.2">
      <c r="C233" s="80"/>
    </row>
    <row r="234" spans="3:3" x14ac:dyDescent="0.2">
      <c r="C234" s="80"/>
    </row>
    <row r="235" spans="3:3" x14ac:dyDescent="0.2">
      <c r="C235" s="80"/>
    </row>
    <row r="236" spans="3:3" x14ac:dyDescent="0.2">
      <c r="C236" s="80"/>
    </row>
    <row r="237" spans="3:3" x14ac:dyDescent="0.2">
      <c r="C237" s="80"/>
    </row>
    <row r="238" spans="3:3" x14ac:dyDescent="0.2">
      <c r="C238" s="80"/>
    </row>
    <row r="239" spans="3:3" x14ac:dyDescent="0.2">
      <c r="C239" s="80"/>
    </row>
    <row r="240" spans="3:3" x14ac:dyDescent="0.2">
      <c r="C240" s="80"/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</sheetData>
  <sheetProtection sheet="1" selectLockedCells="1"/>
  <mergeCells count="7">
    <mergeCell ref="M1:P2"/>
    <mergeCell ref="C3:J3"/>
    <mergeCell ref="O18:P18"/>
    <mergeCell ref="O13:P13"/>
    <mergeCell ref="O7:P7"/>
    <mergeCell ref="M13:N13"/>
    <mergeCell ref="O3:P3"/>
  </mergeCells>
  <phoneticPr fontId="0" type="noConversion"/>
  <conditionalFormatting sqref="C5:I156">
    <cfRule type="cellIs" dxfId="64" priority="1" operator="equal">
      <formula>""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6" r:id="rId4" name="Button 82">
              <controlPr defaultSize="0" print="0" autoFill="0" autoPict="0" macro="[0]!Sheet9.ExportHtml">
                <anchor moveWithCells="1" sizeWithCells="1">
                  <from>
                    <xdr:col>10</xdr:col>
                    <xdr:colOff>57150</xdr:colOff>
                    <xdr:row>4</xdr:row>
                    <xdr:rowOff>28575</xdr:rowOff>
                  </from>
                  <to>
                    <xdr:col>11</xdr:col>
                    <xdr:colOff>866775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8"/>
  <sheetViews>
    <sheetView zoomScale="70" zoomScaleNormal="70" workbookViewId="0">
      <selection activeCell="C9" sqref="C9"/>
    </sheetView>
  </sheetViews>
  <sheetFormatPr defaultRowHeight="12.75" x14ac:dyDescent="0.2"/>
  <cols>
    <col min="1" max="1" width="3.42578125" style="70" bestFit="1" customWidth="1"/>
    <col min="2" max="2" width="9.140625" customWidth="1"/>
    <col min="13" max="13" width="23.42578125" bestFit="1" customWidth="1"/>
    <col min="14" max="14" width="7.5703125" customWidth="1"/>
  </cols>
  <sheetData>
    <row r="1" spans="1:18" x14ac:dyDescent="0.2">
      <c r="A1" s="69"/>
      <c r="B1" s="28"/>
      <c r="C1" s="28"/>
      <c r="D1" s="28"/>
      <c r="E1" s="28"/>
      <c r="F1" s="28"/>
      <c r="G1" s="28"/>
      <c r="H1" s="28"/>
      <c r="I1" s="28"/>
      <c r="J1" s="31">
        <f>MIN(K:K)</f>
        <v>-69.1666666666667</v>
      </c>
      <c r="K1" t="s">
        <v>4</v>
      </c>
      <c r="M1" s="28"/>
      <c r="N1" s="28"/>
      <c r="O1" s="28"/>
      <c r="P1" s="28"/>
      <c r="Q1" s="28"/>
      <c r="R1" s="28"/>
    </row>
    <row r="2" spans="1:18" ht="18" x14ac:dyDescent="0.25">
      <c r="A2" s="69"/>
      <c r="B2" s="1" t="str">
        <f>'Setup &amp; Summary'!P10&amp;"""x"&amp;'Setup &amp; Summary'!P11&amp;""" Plate, "&amp;'Setup &amp; Summary'!N16&amp;""" Foot Pad Distance"</f>
        <v>36"x48" Plate, 2" Foot Pad Distance</v>
      </c>
      <c r="G2" s="2" t="s">
        <v>7</v>
      </c>
      <c r="J2" s="31">
        <f>MAX(K:K)</f>
        <v>28.61904761904761</v>
      </c>
      <c r="K2" t="s">
        <v>5</v>
      </c>
      <c r="P2" s="28"/>
      <c r="Q2" s="28"/>
      <c r="R2" s="28"/>
    </row>
    <row r="3" spans="1:18" x14ac:dyDescent="0.2">
      <c r="A3" s="69"/>
      <c r="J3" s="31">
        <f>ABS(J1-J2)</f>
        <v>97.785714285714306</v>
      </c>
      <c r="K3" t="s">
        <v>6</v>
      </c>
      <c r="P3" s="28"/>
      <c r="Q3" s="28"/>
      <c r="R3" s="28"/>
    </row>
    <row r="4" spans="1:18" ht="13.5" thickBot="1" x14ac:dyDescent="0.25">
      <c r="A4" s="69"/>
      <c r="P4" s="28"/>
      <c r="Q4" s="28"/>
      <c r="R4" s="28"/>
    </row>
    <row r="5" spans="1:18" ht="13.5" thickTop="1" x14ac:dyDescent="0.2">
      <c r="A5" s="69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61" t="s">
        <v>0</v>
      </c>
      <c r="L5" s="66"/>
      <c r="M5" s="6" t="s">
        <v>1</v>
      </c>
      <c r="N5" s="7">
        <f>INDEX(H:H,MATCH(MAX(B:B),B:B))/MAX(B:B)</f>
        <v>-0.33214285714285713</v>
      </c>
      <c r="P5" s="28"/>
      <c r="Q5" s="28"/>
      <c r="R5" s="28"/>
    </row>
    <row r="6" spans="1:18" ht="13.5" thickBot="1" x14ac:dyDescent="0.25">
      <c r="A6" s="69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62">
        <v>9</v>
      </c>
      <c r="L6" s="66"/>
      <c r="M6" s="11" t="s">
        <v>2</v>
      </c>
      <c r="N6" s="12">
        <f>'Setup &amp; Summary'!$N$16</f>
        <v>2</v>
      </c>
      <c r="P6" s="30"/>
      <c r="Q6" s="27"/>
      <c r="R6" s="28"/>
    </row>
    <row r="7" spans="1:18" ht="13.5" thickTop="1" x14ac:dyDescent="0.2">
      <c r="A7" s="69"/>
      <c r="B7" s="13"/>
      <c r="C7" s="14"/>
      <c r="D7" s="15"/>
      <c r="E7" s="15"/>
      <c r="F7" s="15"/>
      <c r="G7" s="15"/>
      <c r="H7" s="15"/>
      <c r="I7" s="15"/>
      <c r="J7" s="15"/>
      <c r="K7" s="63"/>
      <c r="L7" s="67"/>
      <c r="M7" s="6" t="s">
        <v>3</v>
      </c>
      <c r="N7" s="16">
        <f>N6*5</f>
        <v>10</v>
      </c>
      <c r="P7" s="29"/>
      <c r="Q7" s="28"/>
      <c r="R7" s="28"/>
    </row>
    <row r="8" spans="1:18" x14ac:dyDescent="0.2">
      <c r="A8" s="69"/>
      <c r="B8" s="57" t="s">
        <v>68</v>
      </c>
      <c r="C8" s="17"/>
      <c r="D8" s="18"/>
      <c r="E8" s="18"/>
      <c r="F8" s="19"/>
      <c r="G8" s="19"/>
      <c r="H8" s="20">
        <v>0</v>
      </c>
      <c r="I8" s="25">
        <f>I9+$N$5</f>
        <v>-6.9166666666666696</v>
      </c>
      <c r="J8" s="22">
        <f>IF(B8="","",I8+H8)</f>
        <v>-6.9166666666666696</v>
      </c>
      <c r="K8" s="64">
        <f>IF(B8="","",J8*$N$7)</f>
        <v>-69.1666666666667</v>
      </c>
      <c r="L8" s="67"/>
      <c r="N8" s="24"/>
      <c r="P8" s="30"/>
      <c r="Q8" s="26"/>
      <c r="R8" s="28"/>
    </row>
    <row r="9" spans="1:18" x14ac:dyDescent="0.2">
      <c r="A9" s="69"/>
      <c r="B9" s="38">
        <v>1</v>
      </c>
      <c r="C9" s="71">
        <v>1.4</v>
      </c>
      <c r="D9" s="72">
        <v>1.2</v>
      </c>
      <c r="E9" s="72">
        <v>1</v>
      </c>
      <c r="F9" s="25">
        <f>AVERAGE(C9:E9)</f>
        <v>1.2</v>
      </c>
      <c r="G9" s="21">
        <f>F9-$F$9</f>
        <v>0</v>
      </c>
      <c r="H9" s="21">
        <f>H8+G9</f>
        <v>0</v>
      </c>
      <c r="I9" s="25">
        <f>I10+$N$5</f>
        <v>-6.5845238095238123</v>
      </c>
      <c r="J9" s="22">
        <f t="shared" ref="J9:J72" si="0">IF(B9="","",I9+H9)</f>
        <v>-6.5845238095238123</v>
      </c>
      <c r="K9" s="64">
        <f t="shared" ref="K9:K72" si="1">IF(B9="","",J9*$N$7)</f>
        <v>-65.84523809523813</v>
      </c>
      <c r="L9" s="67"/>
      <c r="P9" s="28"/>
      <c r="Q9" s="28"/>
      <c r="R9" s="28"/>
    </row>
    <row r="10" spans="1:18" x14ac:dyDescent="0.2">
      <c r="A10" s="69">
        <v>1</v>
      </c>
      <c r="B10" s="57">
        <f>IF('Setup &amp; Summary'!$N$21&gt;A10,A!B9+1,"")</f>
        <v>2</v>
      </c>
      <c r="C10" s="71">
        <v>1.4</v>
      </c>
      <c r="D10" s="72">
        <v>1.3</v>
      </c>
      <c r="E10" s="72">
        <v>1</v>
      </c>
      <c r="F10" s="25">
        <f t="shared" ref="F10:F73" si="2">IF(B10="","",AVERAGE(C10:E10))</f>
        <v>1.2333333333333334</v>
      </c>
      <c r="G10" s="21">
        <f t="shared" ref="G10:G73" si="3">IF(B10="","",F10-$F$9)</f>
        <v>3.3333333333333437E-2</v>
      </c>
      <c r="H10" s="25">
        <f t="shared" ref="H10:H73" si="4">IF(B10="","",H9+G10)</f>
        <v>3.3333333333333437E-2</v>
      </c>
      <c r="I10" s="68">
        <f>IF(B10="","",IF(B10*2='Setup &amp; Summary'!$N$21,-H10,IF(A!B10*2&lt;'Setup &amp; Summary'!$N$21,A!I11+A!$N$5,A!I9-A!$N$5)))</f>
        <v>-6.252380952380955</v>
      </c>
      <c r="J10" s="22">
        <f t="shared" si="0"/>
        <v>-6.2190476190476218</v>
      </c>
      <c r="K10" s="23">
        <f t="shared" si="1"/>
        <v>-62.190476190476218</v>
      </c>
      <c r="L10" s="65"/>
      <c r="M10" s="60" t="str">
        <f>IF(B10="","",IF(B10*2='Setup &amp; Summary'!$N$21,"midstation row!",""))</f>
        <v/>
      </c>
      <c r="P10" s="28"/>
      <c r="Q10" s="28"/>
      <c r="R10" s="28"/>
    </row>
    <row r="11" spans="1:18" x14ac:dyDescent="0.2">
      <c r="A11" s="69">
        <f>A10+1</f>
        <v>2</v>
      </c>
      <c r="B11" s="57">
        <f>IF('Setup &amp; Summary'!$N$21&gt;A11,A!B10+1,"")</f>
        <v>3</v>
      </c>
      <c r="C11" s="71">
        <v>0.2</v>
      </c>
      <c r="D11" s="72">
        <v>0.5</v>
      </c>
      <c r="E11" s="72">
        <v>0.3</v>
      </c>
      <c r="F11" s="25">
        <f t="shared" si="2"/>
        <v>0.33333333333333331</v>
      </c>
      <c r="G11" s="21">
        <f t="shared" si="3"/>
        <v>-0.8666666666666667</v>
      </c>
      <c r="H11" s="25">
        <f t="shared" si="4"/>
        <v>-0.83333333333333326</v>
      </c>
      <c r="I11" s="68">
        <f>IF(B11="","",IF(B11*2='Setup &amp; Summary'!$N$21,-H11,IF(A!B11*2&lt;'Setup &amp; Summary'!$N$21,A!I12+A!$N$5,A!I10-A!$N$5)))</f>
        <v>-5.9202380952380977</v>
      </c>
      <c r="J11" s="22">
        <f t="shared" si="0"/>
        <v>-6.7535714285714308</v>
      </c>
      <c r="K11" s="23">
        <f t="shared" si="1"/>
        <v>-67.535714285714306</v>
      </c>
      <c r="L11" s="59"/>
      <c r="M11" s="60" t="str">
        <f>IF(B11="","",IF(B11*2='Setup &amp; Summary'!$N$21,"midstation row!",""))</f>
        <v/>
      </c>
      <c r="P11" s="28"/>
      <c r="Q11" s="28"/>
      <c r="R11" s="28"/>
    </row>
    <row r="12" spans="1:18" x14ac:dyDescent="0.2">
      <c r="A12" s="69">
        <f t="shared" ref="A12:A75" si="5">A11+1</f>
        <v>3</v>
      </c>
      <c r="B12" s="57">
        <f>IF('Setup &amp; Summary'!$N$21&gt;A12,A!B11+1,"")</f>
        <v>4</v>
      </c>
      <c r="C12" s="71">
        <v>1.6</v>
      </c>
      <c r="D12" s="72">
        <v>1.2</v>
      </c>
      <c r="E12" s="72">
        <v>1.4</v>
      </c>
      <c r="F12" s="25">
        <f t="shared" si="2"/>
        <v>1.3999999999999997</v>
      </c>
      <c r="G12" s="21">
        <f t="shared" si="3"/>
        <v>0.19999999999999973</v>
      </c>
      <c r="H12" s="25">
        <f t="shared" si="4"/>
        <v>-0.63333333333333353</v>
      </c>
      <c r="I12" s="68">
        <f>IF(B12="","",IF(B12*2='Setup &amp; Summary'!$N$21,-H12,IF(A!B12*2&lt;'Setup &amp; Summary'!$N$21,A!I13+A!$N$5,A!I11-A!$N$5)))</f>
        <v>-5.5880952380952404</v>
      </c>
      <c r="J12" s="22">
        <f t="shared" si="0"/>
        <v>-6.2214285714285742</v>
      </c>
      <c r="K12" s="23">
        <f t="shared" si="1"/>
        <v>-62.214285714285744</v>
      </c>
      <c r="L12" s="59"/>
      <c r="M12" s="60" t="str">
        <f>IF(B12="","",IF(B12*2='Setup &amp; Summary'!$N$21,"midstation row!",""))</f>
        <v/>
      </c>
      <c r="P12" s="28"/>
      <c r="Q12" s="28"/>
      <c r="R12" s="28"/>
    </row>
    <row r="13" spans="1:18" x14ac:dyDescent="0.2">
      <c r="A13" s="69">
        <f t="shared" si="5"/>
        <v>4</v>
      </c>
      <c r="B13" s="57">
        <f>IF('Setup &amp; Summary'!$N$21&gt;A13,A!B12+1,"")</f>
        <v>5</v>
      </c>
      <c r="C13" s="71">
        <v>1</v>
      </c>
      <c r="D13" s="72">
        <v>1.2</v>
      </c>
      <c r="E13" s="72">
        <v>1.4</v>
      </c>
      <c r="F13" s="25">
        <f t="shared" si="2"/>
        <v>1.2</v>
      </c>
      <c r="G13" s="21">
        <f t="shared" si="3"/>
        <v>0</v>
      </c>
      <c r="H13" s="25">
        <f t="shared" si="4"/>
        <v>-0.63333333333333353</v>
      </c>
      <c r="I13" s="68">
        <f>IF(B13="","",IF(B13*2='Setup &amp; Summary'!$N$21,-H13,IF(A!B13*2&lt;'Setup &amp; Summary'!$N$21,A!I14+A!$N$5,A!I12-A!$N$5)))</f>
        <v>-5.2559523809523832</v>
      </c>
      <c r="J13" s="22">
        <f t="shared" si="0"/>
        <v>-5.8892857142857169</v>
      </c>
      <c r="K13" s="23">
        <f t="shared" si="1"/>
        <v>-58.892857142857167</v>
      </c>
      <c r="L13" s="59"/>
      <c r="M13" s="60" t="str">
        <f>IF(B13="","",IF(B13*2='Setup &amp; Summary'!$N$21,"midstation row!",""))</f>
        <v/>
      </c>
      <c r="P13" s="28"/>
      <c r="Q13" s="28"/>
      <c r="R13" s="28"/>
    </row>
    <row r="14" spans="1:18" x14ac:dyDescent="0.2">
      <c r="A14" s="69">
        <f t="shared" si="5"/>
        <v>5</v>
      </c>
      <c r="B14" s="57">
        <f>IF('Setup &amp; Summary'!$N$21&gt;A14,A!B13+1,"")</f>
        <v>6</v>
      </c>
      <c r="C14" s="71">
        <v>0.6</v>
      </c>
      <c r="D14" s="72">
        <v>1</v>
      </c>
      <c r="E14" s="72">
        <v>0.8</v>
      </c>
      <c r="F14" s="25">
        <f t="shared" si="2"/>
        <v>0.80000000000000016</v>
      </c>
      <c r="G14" s="21">
        <f t="shared" si="3"/>
        <v>-0.3999999999999998</v>
      </c>
      <c r="H14" s="25">
        <f t="shared" si="4"/>
        <v>-1.0333333333333332</v>
      </c>
      <c r="I14" s="68">
        <f>IF(B14="","",IF(B14*2='Setup &amp; Summary'!$N$21,-H14,IF(A!B14*2&lt;'Setup &amp; Summary'!$N$21,A!I15+A!$N$5,A!I13-A!$N$5)))</f>
        <v>-4.9238095238095259</v>
      </c>
      <c r="J14" s="22">
        <f t="shared" si="0"/>
        <v>-5.9571428571428591</v>
      </c>
      <c r="K14" s="23">
        <f t="shared" si="1"/>
        <v>-59.571428571428591</v>
      </c>
      <c r="L14" s="59"/>
      <c r="M14" s="60" t="str">
        <f>IF(B14="","",IF(B14*2='Setup &amp; Summary'!$N$21,"midstation row!",""))</f>
        <v/>
      </c>
      <c r="P14" s="28"/>
      <c r="Q14" s="28"/>
      <c r="R14" s="28"/>
    </row>
    <row r="15" spans="1:18" x14ac:dyDescent="0.2">
      <c r="A15" s="69">
        <f t="shared" si="5"/>
        <v>6</v>
      </c>
      <c r="B15" s="57">
        <f>IF('Setup &amp; Summary'!$N$21&gt;A15,A!B14+1,"")</f>
        <v>7</v>
      </c>
      <c r="C15" s="71">
        <v>1.7</v>
      </c>
      <c r="D15" s="72">
        <v>1.2</v>
      </c>
      <c r="E15" s="72">
        <v>1.5</v>
      </c>
      <c r="F15" s="25">
        <f t="shared" si="2"/>
        <v>1.4666666666666668</v>
      </c>
      <c r="G15" s="21">
        <f t="shared" si="3"/>
        <v>0.26666666666666683</v>
      </c>
      <c r="H15" s="25">
        <f t="shared" si="4"/>
        <v>-0.76666666666666639</v>
      </c>
      <c r="I15" s="68">
        <f>IF(B15="","",IF(B15*2='Setup &amp; Summary'!$N$21,-H15,IF(A!B15*2&lt;'Setup &amp; Summary'!$N$21,A!I16+A!$N$5,A!I14-A!$N$5)))</f>
        <v>-4.5916666666666686</v>
      </c>
      <c r="J15" s="22">
        <f t="shared" si="0"/>
        <v>-5.3583333333333352</v>
      </c>
      <c r="K15" s="23">
        <f t="shared" si="1"/>
        <v>-53.58333333333335</v>
      </c>
      <c r="L15" s="59"/>
      <c r="M15" s="60" t="str">
        <f>IF(B15="","",IF(B15*2='Setup &amp; Summary'!$N$21,"midstation row!",""))</f>
        <v/>
      </c>
      <c r="P15" s="28"/>
      <c r="Q15" s="28"/>
      <c r="R15" s="28"/>
    </row>
    <row r="16" spans="1:18" x14ac:dyDescent="0.2">
      <c r="A16" s="69">
        <f t="shared" si="5"/>
        <v>7</v>
      </c>
      <c r="B16" s="57">
        <f>IF('Setup &amp; Summary'!$N$21&gt;A16,A!B15+1,"")</f>
        <v>8</v>
      </c>
      <c r="C16" s="73">
        <v>1.6</v>
      </c>
      <c r="D16" s="72">
        <v>1.7</v>
      </c>
      <c r="E16" s="72">
        <v>1.8</v>
      </c>
      <c r="F16" s="25">
        <f t="shared" si="2"/>
        <v>1.7</v>
      </c>
      <c r="G16" s="21">
        <f t="shared" si="3"/>
        <v>0.5</v>
      </c>
      <c r="H16" s="25">
        <f t="shared" si="4"/>
        <v>-0.26666666666666639</v>
      </c>
      <c r="I16" s="68">
        <f>IF(B16="","",IF(B16*2='Setup &amp; Summary'!$N$21,-H16,IF(A!B16*2&lt;'Setup &amp; Summary'!$N$21,A!I17+A!$N$5,A!I15-A!$N$5)))</f>
        <v>-4.2595238095238113</v>
      </c>
      <c r="J16" s="22">
        <f t="shared" si="0"/>
        <v>-4.5261904761904779</v>
      </c>
      <c r="K16" s="23">
        <f t="shared" si="1"/>
        <v>-45.261904761904781</v>
      </c>
      <c r="L16" s="59"/>
      <c r="M16" s="60" t="str">
        <f>IF(B16="","",IF(B16*2='Setup &amp; Summary'!$N$21,"midstation row!",""))</f>
        <v/>
      </c>
      <c r="P16" s="28"/>
      <c r="Q16" s="28"/>
      <c r="R16" s="28"/>
    </row>
    <row r="17" spans="1:18" x14ac:dyDescent="0.2">
      <c r="A17" s="69">
        <f t="shared" si="5"/>
        <v>8</v>
      </c>
      <c r="B17" s="57">
        <f>IF('Setup &amp; Summary'!$N$21&gt;A17,A!B16+1,"")</f>
        <v>9</v>
      </c>
      <c r="C17" s="71">
        <v>2.2000000000000002</v>
      </c>
      <c r="D17" s="72">
        <v>2</v>
      </c>
      <c r="E17" s="72">
        <v>2.2999999999999998</v>
      </c>
      <c r="F17" s="25">
        <f t="shared" si="2"/>
        <v>2.1666666666666665</v>
      </c>
      <c r="G17" s="21">
        <f t="shared" si="3"/>
        <v>0.96666666666666656</v>
      </c>
      <c r="H17" s="25">
        <f t="shared" si="4"/>
        <v>0.70000000000000018</v>
      </c>
      <c r="I17" s="68">
        <f>IF(B17="","",IF(B17*2='Setup &amp; Summary'!$N$21,-H17,IF(A!B17*2&lt;'Setup &amp; Summary'!$N$21,A!I18+A!$N$5,A!I16-A!$N$5)))</f>
        <v>-3.927380952380954</v>
      </c>
      <c r="J17" s="22">
        <f t="shared" si="0"/>
        <v>-3.2273809523809538</v>
      </c>
      <c r="K17" s="23">
        <f t="shared" si="1"/>
        <v>-32.27380952380954</v>
      </c>
      <c r="L17" s="59"/>
      <c r="M17" s="60" t="str">
        <f>IF(B17="","",IF(B17*2='Setup &amp; Summary'!$N$21,"midstation row!",""))</f>
        <v/>
      </c>
      <c r="N17" s="58"/>
      <c r="P17" s="28"/>
      <c r="Q17" s="28"/>
      <c r="R17" s="28"/>
    </row>
    <row r="18" spans="1:18" x14ac:dyDescent="0.2">
      <c r="A18" s="69">
        <f t="shared" si="5"/>
        <v>9</v>
      </c>
      <c r="B18" s="57">
        <f>IF('Setup &amp; Summary'!$N$21&gt;A18,A!B17+1,"")</f>
        <v>10</v>
      </c>
      <c r="C18" s="71">
        <v>2.2000000000000002</v>
      </c>
      <c r="D18" s="72">
        <v>2</v>
      </c>
      <c r="E18" s="72">
        <v>2.1</v>
      </c>
      <c r="F18" s="25">
        <f t="shared" si="2"/>
        <v>2.1</v>
      </c>
      <c r="G18" s="21">
        <f t="shared" si="3"/>
        <v>0.90000000000000013</v>
      </c>
      <c r="H18" s="25">
        <f t="shared" si="4"/>
        <v>1.6000000000000003</v>
      </c>
      <c r="I18" s="68">
        <f>IF(B18="","",IF(B18*2='Setup &amp; Summary'!$N$21,-H18,IF(A!B18*2&lt;'Setup &amp; Summary'!$N$21,A!I19+A!$N$5,A!I17-A!$N$5)))</f>
        <v>-3.5952380952380967</v>
      </c>
      <c r="J18" s="22">
        <f t="shared" si="0"/>
        <v>-1.9952380952380964</v>
      </c>
      <c r="K18" s="23">
        <f t="shared" si="1"/>
        <v>-19.952380952380963</v>
      </c>
      <c r="L18" s="59"/>
      <c r="M18" s="60" t="str">
        <f>IF(B18="","",IF(B18*2='Setup &amp; Summary'!$N$21,"midstation row!",""))</f>
        <v/>
      </c>
      <c r="P18" s="28"/>
      <c r="Q18" s="28"/>
      <c r="R18" s="28"/>
    </row>
    <row r="19" spans="1:18" x14ac:dyDescent="0.2">
      <c r="A19" s="69">
        <f t="shared" si="5"/>
        <v>10</v>
      </c>
      <c r="B19" s="57">
        <f>IF('Setup &amp; Summary'!$N$21&gt;A19,A!B18+1,"")</f>
        <v>11</v>
      </c>
      <c r="C19" s="71">
        <v>1.7</v>
      </c>
      <c r="D19" s="72">
        <v>1.9</v>
      </c>
      <c r="E19" s="72">
        <v>1.8</v>
      </c>
      <c r="F19" s="25">
        <f t="shared" si="2"/>
        <v>1.7999999999999998</v>
      </c>
      <c r="G19" s="21">
        <f t="shared" si="3"/>
        <v>0.59999999999999987</v>
      </c>
      <c r="H19" s="25">
        <f t="shared" si="4"/>
        <v>2.2000000000000002</v>
      </c>
      <c r="I19" s="68">
        <f>IF(B19="","",IF(B19*2='Setup &amp; Summary'!$N$21,-H19,IF(A!B19*2&lt;'Setup &amp; Summary'!$N$21,A!I20+A!$N$5,A!I18-A!$N$5)))</f>
        <v>-3.2630952380952394</v>
      </c>
      <c r="J19" s="22">
        <f t="shared" si="0"/>
        <v>-1.0630952380952392</v>
      </c>
      <c r="K19" s="23">
        <f t="shared" si="1"/>
        <v>-10.630952380952392</v>
      </c>
      <c r="L19" s="59"/>
      <c r="M19" s="60" t="str">
        <f>IF(B19="","",IF(B19*2='Setup &amp; Summary'!$N$21,"midstation row!",""))</f>
        <v/>
      </c>
      <c r="P19" s="28"/>
      <c r="Q19" s="28"/>
      <c r="R19" s="28"/>
    </row>
    <row r="20" spans="1:18" x14ac:dyDescent="0.2">
      <c r="A20" s="69">
        <f t="shared" si="5"/>
        <v>11</v>
      </c>
      <c r="B20" s="57">
        <f>IF('Setup &amp; Summary'!$N$21&gt;A20,A!B19+1,"")</f>
        <v>12</v>
      </c>
      <c r="C20" s="71">
        <v>1.2</v>
      </c>
      <c r="D20" s="72">
        <v>1.5</v>
      </c>
      <c r="E20" s="72">
        <v>1.3</v>
      </c>
      <c r="F20" s="25">
        <f t="shared" si="2"/>
        <v>1.3333333333333333</v>
      </c>
      <c r="G20" s="21">
        <f t="shared" si="3"/>
        <v>0.1333333333333333</v>
      </c>
      <c r="H20" s="25">
        <f t="shared" si="4"/>
        <v>2.3333333333333335</v>
      </c>
      <c r="I20" s="68">
        <f>IF(B20="","",IF(B20*2='Setup &amp; Summary'!$N$21,-H20,IF(A!B20*2&lt;'Setup &amp; Summary'!$N$21,A!I21+A!$N$5,A!I19-A!$N$5)))</f>
        <v>-2.9309523809523821</v>
      </c>
      <c r="J20" s="22">
        <f t="shared" si="0"/>
        <v>-0.5976190476190486</v>
      </c>
      <c r="K20" s="23">
        <f t="shared" si="1"/>
        <v>-5.976190476190486</v>
      </c>
      <c r="L20" s="59"/>
      <c r="M20" s="60" t="str">
        <f>IF(B20="","",IF(B20*2='Setup &amp; Summary'!$N$21,"midstation row!",""))</f>
        <v/>
      </c>
      <c r="P20" s="28"/>
      <c r="Q20" s="28"/>
      <c r="R20" s="28"/>
    </row>
    <row r="21" spans="1:18" x14ac:dyDescent="0.2">
      <c r="A21" s="69">
        <f t="shared" si="5"/>
        <v>12</v>
      </c>
      <c r="B21" s="57">
        <f>IF('Setup &amp; Summary'!$N$21&gt;A21,A!B20+1,"")</f>
        <v>13</v>
      </c>
      <c r="C21" s="71">
        <v>1.7</v>
      </c>
      <c r="D21" s="72">
        <v>1.2</v>
      </c>
      <c r="E21" s="72">
        <v>1.5</v>
      </c>
      <c r="F21" s="25">
        <f t="shared" si="2"/>
        <v>1.4666666666666668</v>
      </c>
      <c r="G21" s="21">
        <f t="shared" si="3"/>
        <v>0.26666666666666683</v>
      </c>
      <c r="H21" s="25">
        <f t="shared" si="4"/>
        <v>2.6000000000000005</v>
      </c>
      <c r="I21" s="68">
        <f>IF(B21="","",IF(B21*2='Setup &amp; Summary'!$N$21,-H21,IF(A!B21*2&lt;'Setup &amp; Summary'!$N$21,A!I22+A!$N$5,A!I20-A!$N$5)))</f>
        <v>-2.5988095238095248</v>
      </c>
      <c r="J21" s="22">
        <f t="shared" si="0"/>
        <v>1.1904761904757422E-3</v>
      </c>
      <c r="K21" s="23">
        <f t="shared" si="1"/>
        <v>1.1904761904757422E-2</v>
      </c>
      <c r="L21" s="59"/>
      <c r="M21" s="60" t="str">
        <f>IF(B21="","",IF(B21*2='Setup &amp; Summary'!$N$21,"midstation row!",""))</f>
        <v/>
      </c>
      <c r="P21" s="28"/>
      <c r="Q21" s="28"/>
      <c r="R21" s="28"/>
    </row>
    <row r="22" spans="1:18" x14ac:dyDescent="0.2">
      <c r="A22" s="69">
        <f t="shared" si="5"/>
        <v>13</v>
      </c>
      <c r="B22" s="57">
        <f>IF('Setup &amp; Summary'!$N$21&gt;A22,A!B21+1,"")</f>
        <v>14</v>
      </c>
      <c r="C22" s="71">
        <v>0.7</v>
      </c>
      <c r="D22" s="72">
        <v>1</v>
      </c>
      <c r="E22" s="72">
        <v>0.9</v>
      </c>
      <c r="F22" s="25">
        <f t="shared" si="2"/>
        <v>0.8666666666666667</v>
      </c>
      <c r="G22" s="21">
        <f t="shared" si="3"/>
        <v>-0.33333333333333326</v>
      </c>
      <c r="H22" s="25">
        <f t="shared" si="4"/>
        <v>2.2666666666666675</v>
      </c>
      <c r="I22" s="68">
        <f>IF(B22="","",IF(B22*2='Setup &amp; Summary'!$N$21,-H22,IF(A!B22*2&lt;'Setup &amp; Summary'!$N$21,A!I23+A!$N$5,A!I21-A!$N$5)))</f>
        <v>-2.2666666666666675</v>
      </c>
      <c r="J22" s="22">
        <f t="shared" si="0"/>
        <v>0</v>
      </c>
      <c r="K22" s="23">
        <f t="shared" si="1"/>
        <v>0</v>
      </c>
      <c r="L22" s="59"/>
      <c r="M22" s="60" t="str">
        <f>IF(B22="","",IF(B22*2='Setup &amp; Summary'!$N$21,"midstation row!",""))</f>
        <v>midstation row!</v>
      </c>
      <c r="P22" s="28"/>
      <c r="Q22" s="28"/>
      <c r="R22" s="28"/>
    </row>
    <row r="23" spans="1:18" x14ac:dyDescent="0.2">
      <c r="A23" s="69">
        <f t="shared" si="5"/>
        <v>14</v>
      </c>
      <c r="B23" s="57">
        <f>IF('Setup &amp; Summary'!$N$21&gt;A23,A!B22+1,"")</f>
        <v>15</v>
      </c>
      <c r="C23" s="71">
        <v>2.8</v>
      </c>
      <c r="D23" s="72">
        <v>2.5</v>
      </c>
      <c r="E23" s="72">
        <v>2.2999999999999998</v>
      </c>
      <c r="F23" s="25">
        <f t="shared" si="2"/>
        <v>2.5333333333333332</v>
      </c>
      <c r="G23" s="21">
        <f t="shared" si="3"/>
        <v>1.3333333333333333</v>
      </c>
      <c r="H23" s="25">
        <f t="shared" si="4"/>
        <v>3.6000000000000005</v>
      </c>
      <c r="I23" s="68">
        <f>IF(B23="","",IF(B23*2='Setup &amp; Summary'!$N$21,-H23,IF(A!B23*2&lt;'Setup &amp; Summary'!$N$21,A!I24+A!$N$5,A!I22-A!$N$5)))</f>
        <v>-1.9345238095238104</v>
      </c>
      <c r="J23" s="22">
        <f t="shared" si="0"/>
        <v>1.6654761904761901</v>
      </c>
      <c r="K23" s="23">
        <f t="shared" si="1"/>
        <v>16.654761904761902</v>
      </c>
      <c r="L23" s="59"/>
      <c r="M23" s="60" t="str">
        <f>IF(B23="","",IF(B23*2='Setup &amp; Summary'!$N$21,"midstation row!",""))</f>
        <v/>
      </c>
    </row>
    <row r="24" spans="1:18" x14ac:dyDescent="0.2">
      <c r="A24" s="69">
        <f t="shared" si="5"/>
        <v>15</v>
      </c>
      <c r="B24" s="57">
        <f>IF('Setup &amp; Summary'!$N$21&gt;A24,A!B23+1,"")</f>
        <v>16</v>
      </c>
      <c r="C24" s="71">
        <v>1.3</v>
      </c>
      <c r="D24" s="72">
        <v>1.5</v>
      </c>
      <c r="E24" s="72">
        <v>1.4</v>
      </c>
      <c r="F24" s="25">
        <f t="shared" si="2"/>
        <v>1.3999999999999997</v>
      </c>
      <c r="G24" s="21">
        <f t="shared" si="3"/>
        <v>0.19999999999999973</v>
      </c>
      <c r="H24" s="25">
        <f t="shared" si="4"/>
        <v>3.8000000000000003</v>
      </c>
      <c r="I24" s="68">
        <f>IF(B24="","",IF(B24*2='Setup &amp; Summary'!$N$21,-H24,IF(A!B24*2&lt;'Setup &amp; Summary'!$N$21,A!I25+A!$N$5,A!I23-A!$N$5)))</f>
        <v>-1.6023809523809533</v>
      </c>
      <c r="J24" s="22">
        <f t="shared" si="0"/>
        <v>2.1976190476190469</v>
      </c>
      <c r="K24" s="23">
        <f t="shared" si="1"/>
        <v>21.976190476190467</v>
      </c>
      <c r="L24" s="59"/>
      <c r="M24" s="60" t="str">
        <f>IF(B24="","",IF(B24*2='Setup &amp; Summary'!$N$21,"midstation row!",""))</f>
        <v/>
      </c>
    </row>
    <row r="25" spans="1:18" x14ac:dyDescent="0.2">
      <c r="A25" s="69">
        <f t="shared" si="5"/>
        <v>16</v>
      </c>
      <c r="B25" s="57">
        <f>IF('Setup &amp; Summary'!$N$21&gt;A25,A!B24+1,"")</f>
        <v>17</v>
      </c>
      <c r="C25" s="71">
        <v>0.6</v>
      </c>
      <c r="D25" s="72">
        <v>1</v>
      </c>
      <c r="E25" s="72">
        <v>0.8</v>
      </c>
      <c r="F25" s="25">
        <f t="shared" si="2"/>
        <v>0.80000000000000016</v>
      </c>
      <c r="G25" s="21">
        <f t="shared" si="3"/>
        <v>-0.3999999999999998</v>
      </c>
      <c r="H25" s="25">
        <f t="shared" si="4"/>
        <v>3.4000000000000004</v>
      </c>
      <c r="I25" s="68">
        <f>IF(B25="","",IF(B25*2='Setup &amp; Summary'!$N$21,-H25,IF(A!B25*2&lt;'Setup &amp; Summary'!$N$21,A!I26+A!$N$5,A!I24-A!$N$5)))</f>
        <v>-1.2702380952380963</v>
      </c>
      <c r="J25" s="22">
        <f t="shared" si="0"/>
        <v>2.1297619047619039</v>
      </c>
      <c r="K25" s="23">
        <f t="shared" si="1"/>
        <v>21.297619047619037</v>
      </c>
      <c r="L25" s="59"/>
      <c r="M25" s="60" t="str">
        <f>IF(B25="","",IF(B25*2='Setup &amp; Summary'!$N$21,"midstation row!",""))</f>
        <v/>
      </c>
    </row>
    <row r="26" spans="1:18" x14ac:dyDescent="0.2">
      <c r="A26" s="69">
        <f t="shared" si="5"/>
        <v>17</v>
      </c>
      <c r="B26" s="57">
        <f>IF('Setup &amp; Summary'!$N$21&gt;A26,A!B25+1,"")</f>
        <v>18</v>
      </c>
      <c r="C26" s="71">
        <v>1.6</v>
      </c>
      <c r="D26" s="72">
        <v>1.4</v>
      </c>
      <c r="E26" s="72">
        <v>1.8</v>
      </c>
      <c r="F26" s="25">
        <f t="shared" si="2"/>
        <v>1.5999999999999999</v>
      </c>
      <c r="G26" s="21">
        <f t="shared" si="3"/>
        <v>0.39999999999999991</v>
      </c>
      <c r="H26" s="25">
        <f t="shared" si="4"/>
        <v>3.8000000000000003</v>
      </c>
      <c r="I26" s="68">
        <f>IF(B26="","",IF(B26*2='Setup &amp; Summary'!$N$21,-H26,IF(A!B26*2&lt;'Setup &amp; Summary'!$N$21,A!I27+A!$N$5,A!I25-A!$N$5)))</f>
        <v>-0.9380952380952392</v>
      </c>
      <c r="J26" s="22">
        <f t="shared" si="0"/>
        <v>2.8619047619047611</v>
      </c>
      <c r="K26" s="23">
        <f t="shared" si="1"/>
        <v>28.61904761904761</v>
      </c>
      <c r="L26" s="59"/>
      <c r="M26" s="60" t="str">
        <f>IF(B26="","",IF(B26*2='Setup &amp; Summary'!$N$21,"midstation row!",""))</f>
        <v/>
      </c>
    </row>
    <row r="27" spans="1:18" x14ac:dyDescent="0.2">
      <c r="A27" s="69">
        <f t="shared" si="5"/>
        <v>18</v>
      </c>
      <c r="B27" s="57">
        <f>IF('Setup &amp; Summary'!$N$21&gt;A27,A!B26+1,"")</f>
        <v>19</v>
      </c>
      <c r="C27" s="71">
        <v>-0.4</v>
      </c>
      <c r="D27" s="72">
        <v>-0.2</v>
      </c>
      <c r="E27" s="72">
        <v>-0.4</v>
      </c>
      <c r="F27" s="25">
        <f t="shared" si="2"/>
        <v>-0.33333333333333331</v>
      </c>
      <c r="G27" s="21">
        <f t="shared" si="3"/>
        <v>-1.5333333333333332</v>
      </c>
      <c r="H27" s="25">
        <f t="shared" si="4"/>
        <v>2.2666666666666671</v>
      </c>
      <c r="I27" s="68">
        <f>IF(B27="","",IF(B27*2='Setup &amp; Summary'!$N$21,-H27,IF(A!B27*2&lt;'Setup &amp; Summary'!$N$21,A!I28+A!$N$5,A!I26-A!$N$5)))</f>
        <v>-0.60595238095238213</v>
      </c>
      <c r="J27" s="22">
        <f t="shared" si="0"/>
        <v>1.6607142857142849</v>
      </c>
      <c r="K27" s="23">
        <f t="shared" si="1"/>
        <v>16.607142857142851</v>
      </c>
      <c r="M27" s="60" t="str">
        <f>IF(B27="","",IF(B27*2='Setup &amp; Summary'!$N$21,"midstation row!",""))</f>
        <v/>
      </c>
    </row>
    <row r="28" spans="1:18" x14ac:dyDescent="0.2">
      <c r="A28" s="69">
        <f t="shared" si="5"/>
        <v>19</v>
      </c>
      <c r="B28" s="57">
        <f>IF('Setup &amp; Summary'!$N$21&gt;A28,A!B27+1,"")</f>
        <v>20</v>
      </c>
      <c r="C28" s="71">
        <v>0</v>
      </c>
      <c r="D28" s="72">
        <v>0.2</v>
      </c>
      <c r="E28" s="72">
        <v>0</v>
      </c>
      <c r="F28" s="25">
        <f>IF(B28="","",AVERAGE(C28:E28))</f>
        <v>6.6666666666666666E-2</v>
      </c>
      <c r="G28" s="21">
        <f>IF(B28="","",F28-$F$9)</f>
        <v>-1.1333333333333333</v>
      </c>
      <c r="H28" s="25">
        <f>IF(B28="","",H27+G28)</f>
        <v>1.1333333333333337</v>
      </c>
      <c r="I28" s="68">
        <f>IF(B28="","",IF(B28*2='Setup &amp; Summary'!$N$21,-H28,IF(A!B28*2&lt;'Setup &amp; Summary'!$N$21,A!I29+A!$N$5,A!I27-A!$N$5)))</f>
        <v>-0.273809523809525</v>
      </c>
      <c r="J28" s="22">
        <f t="shared" si="0"/>
        <v>0.85952380952380869</v>
      </c>
      <c r="K28" s="23">
        <f t="shared" si="1"/>
        <v>8.5952380952380878</v>
      </c>
      <c r="M28" s="60" t="str">
        <f>IF(B28="","",IF(B28*2='Setup &amp; Summary'!$N$21,"midstation row!",""))</f>
        <v/>
      </c>
    </row>
    <row r="29" spans="1:18" x14ac:dyDescent="0.2">
      <c r="A29" s="69">
        <f t="shared" si="5"/>
        <v>20</v>
      </c>
      <c r="B29" s="57">
        <f>IF('Setup &amp; Summary'!$N$21&gt;A29,A!B28+1,"")</f>
        <v>21</v>
      </c>
      <c r="C29" s="71">
        <v>0.2</v>
      </c>
      <c r="D29" s="72">
        <v>0.5</v>
      </c>
      <c r="E29" s="72">
        <v>0.3</v>
      </c>
      <c r="F29" s="25">
        <f t="shared" si="2"/>
        <v>0.33333333333333331</v>
      </c>
      <c r="G29" s="21">
        <f t="shared" si="3"/>
        <v>-0.8666666666666667</v>
      </c>
      <c r="H29" s="25">
        <f t="shared" si="4"/>
        <v>0.26666666666666705</v>
      </c>
      <c r="I29" s="68">
        <f>IF(B29="","",IF(B29*2='Setup &amp; Summary'!$N$21,-H29,IF(A!B29*2&lt;'Setup &amp; Summary'!$N$21,A!I30+A!$N$5,A!I28-A!$N$5)))</f>
        <v>5.8333333333332127E-2</v>
      </c>
      <c r="J29" s="22">
        <f t="shared" si="0"/>
        <v>0.32499999999999918</v>
      </c>
      <c r="K29" s="23">
        <f t="shared" si="1"/>
        <v>3.249999999999992</v>
      </c>
      <c r="M29" s="60" t="str">
        <f>IF(B29="","",IF(B29*2='Setup &amp; Summary'!$N$21,"midstation row!",""))</f>
        <v/>
      </c>
    </row>
    <row r="30" spans="1:18" x14ac:dyDescent="0.2">
      <c r="A30" s="69">
        <f t="shared" si="5"/>
        <v>21</v>
      </c>
      <c r="B30" s="57">
        <f>IF('Setup &amp; Summary'!$N$21&gt;A30,A!B29+1,"")</f>
        <v>22</v>
      </c>
      <c r="C30" s="71">
        <v>0.7</v>
      </c>
      <c r="D30" s="72">
        <v>0.5</v>
      </c>
      <c r="E30" s="72">
        <v>0.3</v>
      </c>
      <c r="F30" s="25">
        <f t="shared" si="2"/>
        <v>0.5</v>
      </c>
      <c r="G30" s="21">
        <f t="shared" si="3"/>
        <v>-0.7</v>
      </c>
      <c r="H30" s="25">
        <f t="shared" si="4"/>
        <v>-0.4333333333333329</v>
      </c>
      <c r="I30" s="68">
        <f>IF(B30="","",IF(B30*2='Setup &amp; Summary'!$N$21,-H30,IF(A!B30*2&lt;'Setup &amp; Summary'!$N$21,A!I31+A!$N$5,A!I29-A!$N$5)))</f>
        <v>0.39047619047618926</v>
      </c>
      <c r="J30" s="22">
        <f t="shared" si="0"/>
        <v>-4.2857142857143649E-2</v>
      </c>
      <c r="K30" s="23">
        <f t="shared" si="1"/>
        <v>-0.42857142857143649</v>
      </c>
      <c r="M30" s="60" t="str">
        <f>IF(B30="","",IF(B30*2='Setup &amp; Summary'!$N$21,"midstation row!",""))</f>
        <v/>
      </c>
    </row>
    <row r="31" spans="1:18" x14ac:dyDescent="0.2">
      <c r="A31" s="69">
        <f t="shared" si="5"/>
        <v>22</v>
      </c>
      <c r="B31" s="57">
        <f>IF('Setup &amp; Summary'!$N$21&gt;A31,A!B30+1,"")</f>
        <v>23</v>
      </c>
      <c r="C31" s="71">
        <v>-0.1</v>
      </c>
      <c r="D31" s="72">
        <v>-0.3</v>
      </c>
      <c r="E31" s="72">
        <v>-0.2</v>
      </c>
      <c r="F31" s="25">
        <f t="shared" si="2"/>
        <v>-0.20000000000000004</v>
      </c>
      <c r="G31" s="21">
        <f t="shared" si="3"/>
        <v>-1.4</v>
      </c>
      <c r="H31" s="25">
        <f t="shared" si="4"/>
        <v>-1.8333333333333328</v>
      </c>
      <c r="I31" s="68">
        <f>IF(B31="","",IF(B31*2='Setup &amp; Summary'!$N$21,-H31,IF(A!B31*2&lt;'Setup &amp; Summary'!$N$21,A!I32+A!$N$5,A!I30-A!$N$5)))</f>
        <v>0.72261904761904638</v>
      </c>
      <c r="J31" s="22">
        <f t="shared" si="0"/>
        <v>-1.1107142857142864</v>
      </c>
      <c r="K31" s="23">
        <f t="shared" si="1"/>
        <v>-11.107142857142865</v>
      </c>
      <c r="M31" s="60" t="str">
        <f>IF(B31="","",IF(B31*2='Setup &amp; Summary'!$N$21,"midstation row!",""))</f>
        <v/>
      </c>
    </row>
    <row r="32" spans="1:18" x14ac:dyDescent="0.2">
      <c r="A32" s="69">
        <f t="shared" si="5"/>
        <v>23</v>
      </c>
      <c r="B32" s="57">
        <f>IF('Setup &amp; Summary'!$N$21&gt;A32,A!B31+1,"")</f>
        <v>24</v>
      </c>
      <c r="C32" s="71">
        <v>0.1</v>
      </c>
      <c r="D32" s="72">
        <v>0.3</v>
      </c>
      <c r="E32" s="72">
        <v>0.2</v>
      </c>
      <c r="F32" s="25">
        <f t="shared" si="2"/>
        <v>0.20000000000000004</v>
      </c>
      <c r="G32" s="21">
        <f t="shared" si="3"/>
        <v>-0.99999999999999989</v>
      </c>
      <c r="H32" s="25">
        <f t="shared" si="4"/>
        <v>-2.8333333333333326</v>
      </c>
      <c r="I32" s="68">
        <f>IF(B32="","",IF(B32*2='Setup &amp; Summary'!$N$21,-H32,IF(A!B32*2&lt;'Setup &amp; Summary'!$N$21,A!I33+A!$N$5,A!I31-A!$N$5)))</f>
        <v>1.0547619047619035</v>
      </c>
      <c r="J32" s="22">
        <f t="shared" si="0"/>
        <v>-1.7785714285714291</v>
      </c>
      <c r="K32" s="23">
        <f t="shared" si="1"/>
        <v>-17.785714285714292</v>
      </c>
      <c r="M32" s="60" t="str">
        <f>IF(B32="","",IF(B32*2='Setup &amp; Summary'!$N$21,"midstation row!",""))</f>
        <v/>
      </c>
    </row>
    <row r="33" spans="1:13" x14ac:dyDescent="0.2">
      <c r="A33" s="69">
        <f t="shared" si="5"/>
        <v>24</v>
      </c>
      <c r="B33" s="57">
        <f>IF('Setup &amp; Summary'!$N$21&gt;A33,A!B32+1,"")</f>
        <v>25</v>
      </c>
      <c r="C33" s="71">
        <v>-0.2</v>
      </c>
      <c r="D33" s="72">
        <v>-0.4</v>
      </c>
      <c r="E33" s="72">
        <v>-0.5</v>
      </c>
      <c r="F33" s="25">
        <f t="shared" si="2"/>
        <v>-0.3666666666666667</v>
      </c>
      <c r="G33" s="21">
        <f t="shared" si="3"/>
        <v>-1.5666666666666667</v>
      </c>
      <c r="H33" s="25">
        <f t="shared" si="4"/>
        <v>-4.3999999999999995</v>
      </c>
      <c r="I33" s="68">
        <f>IF(B33="","",IF(B33*2='Setup &amp; Summary'!$N$21,-H33,IF(A!B33*2&lt;'Setup &amp; Summary'!$N$21,A!I34+A!$N$5,A!I32-A!$N$5)))</f>
        <v>1.3869047619047605</v>
      </c>
      <c r="J33" s="22">
        <f t="shared" si="0"/>
        <v>-3.0130952380952389</v>
      </c>
      <c r="K33" s="23">
        <f t="shared" si="1"/>
        <v>-30.13095238095239</v>
      </c>
      <c r="M33" s="60" t="str">
        <f>IF(B33="","",IF(B33*2='Setup &amp; Summary'!$N$21,"midstation row!",""))</f>
        <v/>
      </c>
    </row>
    <row r="34" spans="1:13" x14ac:dyDescent="0.2">
      <c r="A34" s="69">
        <f t="shared" si="5"/>
        <v>25</v>
      </c>
      <c r="B34" s="57">
        <f>IF('Setup &amp; Summary'!$N$21&gt;A34,A!B33+1,"")</f>
        <v>26</v>
      </c>
      <c r="C34" s="71">
        <v>-0.7</v>
      </c>
      <c r="D34" s="72">
        <v>-0.3</v>
      </c>
      <c r="E34" s="72">
        <v>-0.4</v>
      </c>
      <c r="F34" s="25">
        <f t="shared" si="2"/>
        <v>-0.46666666666666662</v>
      </c>
      <c r="G34" s="21">
        <f t="shared" si="3"/>
        <v>-1.6666666666666665</v>
      </c>
      <c r="H34" s="25">
        <f t="shared" si="4"/>
        <v>-6.0666666666666664</v>
      </c>
      <c r="I34" s="68">
        <f>IF(B34="","",IF(B34*2='Setup &amp; Summary'!$N$21,-H34,IF(A!B34*2&lt;'Setup &amp; Summary'!$N$21,A!I35+A!$N$5,A!I33-A!$N$5)))</f>
        <v>1.7190476190476176</v>
      </c>
      <c r="J34" s="22">
        <f t="shared" si="0"/>
        <v>-4.347619047619049</v>
      </c>
      <c r="K34" s="23">
        <f t="shared" si="1"/>
        <v>-43.476190476190489</v>
      </c>
      <c r="M34" s="60" t="str">
        <f>IF(B34="","",IF(B34*2='Setup &amp; Summary'!$N$21,"midstation row!",""))</f>
        <v/>
      </c>
    </row>
    <row r="35" spans="1:13" x14ac:dyDescent="0.2">
      <c r="A35" s="69">
        <f t="shared" si="5"/>
        <v>26</v>
      </c>
      <c r="B35" s="57">
        <f>IF('Setup &amp; Summary'!$N$21&gt;A35,A!B34+1,"")</f>
        <v>27</v>
      </c>
      <c r="C35" s="71">
        <v>-0.8</v>
      </c>
      <c r="D35" s="72">
        <v>-0.5</v>
      </c>
      <c r="E35" s="72">
        <v>-0.4</v>
      </c>
      <c r="F35" s="25">
        <f t="shared" si="2"/>
        <v>-0.56666666666666676</v>
      </c>
      <c r="G35" s="21">
        <f t="shared" si="3"/>
        <v>-1.7666666666666666</v>
      </c>
      <c r="H35" s="25">
        <f t="shared" si="4"/>
        <v>-7.833333333333333</v>
      </c>
      <c r="I35" s="68">
        <f>IF(B35="","",IF(B35*2='Setup &amp; Summary'!$N$21,-H35,IF(A!B35*2&lt;'Setup &amp; Summary'!$N$21,A!I36+A!$N$5,A!I34-A!$N$5)))</f>
        <v>2.0511904761904747</v>
      </c>
      <c r="J35" s="22">
        <f t="shared" si="0"/>
        <v>-5.7821428571428584</v>
      </c>
      <c r="K35" s="23">
        <f t="shared" si="1"/>
        <v>-57.821428571428584</v>
      </c>
      <c r="M35" s="60" t="str">
        <f>IF(B35="","",IF(B35*2='Setup &amp; Summary'!$N$21,"midstation row!",""))</f>
        <v/>
      </c>
    </row>
    <row r="36" spans="1:13" x14ac:dyDescent="0.2">
      <c r="A36" s="69">
        <f t="shared" si="5"/>
        <v>27</v>
      </c>
      <c r="B36" s="57">
        <f>IF('Setup &amp; Summary'!$N$21&gt;A36,A!B35+1,"")</f>
        <v>28</v>
      </c>
      <c r="C36" s="71">
        <v>-0.2</v>
      </c>
      <c r="D36" s="72">
        <v>-0.5</v>
      </c>
      <c r="E36" s="72">
        <v>-0.1</v>
      </c>
      <c r="F36" s="25">
        <f t="shared" si="2"/>
        <v>-0.26666666666666666</v>
      </c>
      <c r="G36" s="21">
        <f t="shared" si="3"/>
        <v>-1.4666666666666666</v>
      </c>
      <c r="H36" s="25">
        <f t="shared" si="4"/>
        <v>-9.2999999999999989</v>
      </c>
      <c r="I36" s="68">
        <f>IF(B36="","",IF(B36*2='Setup &amp; Summary'!$N$21,-H36,IF(A!B36*2&lt;'Setup &amp; Summary'!$N$21,A!I37+A!$N$5,A!I35-A!$N$5)))</f>
        <v>2.383333333333332</v>
      </c>
      <c r="J36" s="22">
        <f t="shared" si="0"/>
        <v>-6.916666666666667</v>
      </c>
      <c r="K36" s="23">
        <f t="shared" si="1"/>
        <v>-69.166666666666671</v>
      </c>
      <c r="M36" s="60" t="str">
        <f>IF(B36="","",IF(B36*2='Setup &amp; Summary'!$N$21,"midstation row!",""))</f>
        <v/>
      </c>
    </row>
    <row r="37" spans="1:13" x14ac:dyDescent="0.2">
      <c r="A37" s="69">
        <f t="shared" si="5"/>
        <v>28</v>
      </c>
      <c r="B37" s="57" t="str">
        <f>IF('Setup &amp; Summary'!$N$21&gt;A37,A!B36+1,"")</f>
        <v/>
      </c>
      <c r="C37" s="71"/>
      <c r="D37" s="72"/>
      <c r="E37" s="72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68" t="str">
        <f>IF(B37="","",IF(B37*2='Setup &amp; Summary'!$N$21,-H37,IF(A!B37*2&lt;'Setup &amp; Summary'!$N$21,A!I38+A!$N$5,A!I36-A!$N$5)))</f>
        <v/>
      </c>
      <c r="J37" s="22" t="str">
        <f t="shared" si="0"/>
        <v/>
      </c>
      <c r="K37" s="23" t="str">
        <f t="shared" si="1"/>
        <v/>
      </c>
      <c r="M37" s="60" t="str">
        <f>IF(B37="","",IF(B37*2='Setup &amp; Summary'!$N$21,"midstation row!",""))</f>
        <v/>
      </c>
    </row>
    <row r="38" spans="1:13" x14ac:dyDescent="0.2">
      <c r="A38" s="69">
        <f t="shared" si="5"/>
        <v>29</v>
      </c>
      <c r="B38" s="57" t="str">
        <f>IF('Setup &amp; Summary'!$N$21&gt;A38,A!B37+1,"")</f>
        <v/>
      </c>
      <c r="C38" s="71"/>
      <c r="D38" s="72"/>
      <c r="E38" s="72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68" t="str">
        <f>IF(B38="","",IF(B38*2='Setup &amp; Summary'!$N$21,-H38,IF(A!B38*2&lt;'Setup &amp; Summary'!$N$21,A!I39+A!$N$5,A!I37-A!$N$5)))</f>
        <v/>
      </c>
      <c r="J38" s="22" t="str">
        <f t="shared" si="0"/>
        <v/>
      </c>
      <c r="K38" s="23" t="str">
        <f t="shared" si="1"/>
        <v/>
      </c>
      <c r="M38" s="60" t="str">
        <f>IF(B38="","",IF(B38*2='Setup &amp; Summary'!$N$21,"midstation row!",""))</f>
        <v/>
      </c>
    </row>
    <row r="39" spans="1:13" x14ac:dyDescent="0.2">
      <c r="A39" s="69">
        <f t="shared" si="5"/>
        <v>30</v>
      </c>
      <c r="B39" s="57" t="str">
        <f>IF('Setup &amp; Summary'!$N$21&gt;A39,A!B38+1,"")</f>
        <v/>
      </c>
      <c r="C39" s="71"/>
      <c r="D39" s="72"/>
      <c r="E39" s="72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68" t="str">
        <f>IF(B39="","",IF(B39*2='Setup &amp; Summary'!$N$21,-H39,IF(A!B39*2&lt;'Setup &amp; Summary'!$N$21,A!I40+A!$N$5,A!I38-A!$N$5)))</f>
        <v/>
      </c>
      <c r="J39" s="22" t="str">
        <f t="shared" si="0"/>
        <v/>
      </c>
      <c r="K39" s="23" t="str">
        <f t="shared" si="1"/>
        <v/>
      </c>
      <c r="M39" s="60" t="str">
        <f>IF(B39="","",IF(B39*2='Setup &amp; Summary'!$N$21,"midstation row!",""))</f>
        <v/>
      </c>
    </row>
    <row r="40" spans="1:13" x14ac:dyDescent="0.2">
      <c r="A40" s="69">
        <f t="shared" si="5"/>
        <v>31</v>
      </c>
      <c r="B40" s="57" t="str">
        <f>IF('Setup &amp; Summary'!$N$21&gt;A40,A!B39+1,"")</f>
        <v/>
      </c>
      <c r="C40" s="71"/>
      <c r="D40" s="72"/>
      <c r="E40" s="72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68" t="str">
        <f>IF(B40="","",IF(B40*2='Setup &amp; Summary'!$N$21,-H40,IF(A!B40*2&lt;'Setup &amp; Summary'!$N$21,A!I41+A!$N$5,A!I39-A!$N$5)))</f>
        <v/>
      </c>
      <c r="J40" s="22" t="str">
        <f t="shared" si="0"/>
        <v/>
      </c>
      <c r="K40" s="23" t="str">
        <f t="shared" si="1"/>
        <v/>
      </c>
      <c r="M40" s="60" t="str">
        <f>IF(B40="","",IF(B40*2='Setup &amp; Summary'!$N$21,"midstation row!",""))</f>
        <v/>
      </c>
    </row>
    <row r="41" spans="1:13" x14ac:dyDescent="0.2">
      <c r="A41" s="69">
        <f t="shared" si="5"/>
        <v>32</v>
      </c>
      <c r="B41" s="57" t="str">
        <f>IF('Setup &amp; Summary'!$N$21&gt;A41,A!B40+1,"")</f>
        <v/>
      </c>
      <c r="C41" s="71"/>
      <c r="D41" s="72"/>
      <c r="E41" s="72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68" t="str">
        <f>IF(B41="","",IF(B41*2='Setup &amp; Summary'!$N$21,-H41,IF(A!B41*2&lt;'Setup &amp; Summary'!$N$21,A!I42+A!$N$5,A!I40-A!$N$5)))</f>
        <v/>
      </c>
      <c r="J41" s="22" t="str">
        <f t="shared" si="0"/>
        <v/>
      </c>
      <c r="K41" s="23" t="str">
        <f t="shared" si="1"/>
        <v/>
      </c>
      <c r="M41" s="60" t="str">
        <f>IF(B41="","",IF(B41*2='Setup &amp; Summary'!$N$21,"midstation row!",""))</f>
        <v/>
      </c>
    </row>
    <row r="42" spans="1:13" x14ac:dyDescent="0.2">
      <c r="A42" s="69">
        <f t="shared" si="5"/>
        <v>33</v>
      </c>
      <c r="B42" s="57" t="str">
        <f>IF('Setup &amp; Summary'!$N$21&gt;A42,A!B41+1,"")</f>
        <v/>
      </c>
      <c r="C42" s="71"/>
      <c r="D42" s="72"/>
      <c r="E42" s="72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68" t="str">
        <f>IF(B42="","",IF(B42*2='Setup &amp; Summary'!$N$21,-H42,IF(A!B42*2&lt;'Setup &amp; Summary'!$N$21,A!I43+A!$N$5,A!I41-A!$N$5)))</f>
        <v/>
      </c>
      <c r="J42" s="22" t="str">
        <f t="shared" si="0"/>
        <v/>
      </c>
      <c r="K42" s="23" t="str">
        <f t="shared" si="1"/>
        <v/>
      </c>
      <c r="M42" s="60" t="str">
        <f>IF(B42="","",IF(B42*2='Setup &amp; Summary'!$N$21,"midstation row!",""))</f>
        <v/>
      </c>
    </row>
    <row r="43" spans="1:13" x14ac:dyDescent="0.2">
      <c r="A43" s="69">
        <f t="shared" si="5"/>
        <v>34</v>
      </c>
      <c r="B43" s="57" t="str">
        <f>IF('Setup &amp; Summary'!$N$21&gt;A43,A!B42+1,"")</f>
        <v/>
      </c>
      <c r="C43" s="71"/>
      <c r="D43" s="72"/>
      <c r="E43" s="72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68" t="str">
        <f>IF(B43="","",IF(B43*2='Setup &amp; Summary'!$N$21,-H43,IF(A!B43*2&lt;'Setup &amp; Summary'!$N$21,A!I44+A!$N$5,A!I42-A!$N$5)))</f>
        <v/>
      </c>
      <c r="J43" s="22" t="str">
        <f t="shared" si="0"/>
        <v/>
      </c>
      <c r="K43" s="23" t="str">
        <f t="shared" si="1"/>
        <v/>
      </c>
      <c r="M43" s="60" t="str">
        <f>IF(B43="","",IF(B43*2='Setup &amp; Summary'!$N$21,"midstation row!",""))</f>
        <v/>
      </c>
    </row>
    <row r="44" spans="1:13" x14ac:dyDescent="0.2">
      <c r="A44" s="69">
        <f t="shared" si="5"/>
        <v>35</v>
      </c>
      <c r="B44" s="57" t="str">
        <f>IF('Setup &amp; Summary'!$N$21&gt;A44,A!B43+1,"")</f>
        <v/>
      </c>
      <c r="C44" s="71"/>
      <c r="D44" s="72"/>
      <c r="E44" s="72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68" t="str">
        <f>IF(B44="","",IF(B44*2='Setup &amp; Summary'!$N$21,-H44,IF(A!B44*2&lt;'Setup &amp; Summary'!$N$21,A!I45+A!$N$5,A!I43-A!$N$5)))</f>
        <v/>
      </c>
      <c r="J44" s="22" t="str">
        <f t="shared" si="0"/>
        <v/>
      </c>
      <c r="K44" s="23" t="str">
        <f t="shared" si="1"/>
        <v/>
      </c>
      <c r="M44" s="60" t="str">
        <f>IF(B44="","",IF(B44*2='Setup &amp; Summary'!$N$21,"midstation row!",""))</f>
        <v/>
      </c>
    </row>
    <row r="45" spans="1:13" x14ac:dyDescent="0.2">
      <c r="A45" s="69">
        <f t="shared" si="5"/>
        <v>36</v>
      </c>
      <c r="B45" s="57" t="str">
        <f>IF('Setup &amp; Summary'!$N$21&gt;A45,A!B44+1,"")</f>
        <v/>
      </c>
      <c r="C45" s="71"/>
      <c r="D45" s="72"/>
      <c r="E45" s="72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68" t="str">
        <f>IF(B45="","",IF(B45*2='Setup &amp; Summary'!$N$21,-H45,IF(A!B45*2&lt;'Setup &amp; Summary'!$N$21,A!I46+A!$N$5,A!I44-A!$N$5)))</f>
        <v/>
      </c>
      <c r="J45" s="22" t="str">
        <f t="shared" si="0"/>
        <v/>
      </c>
      <c r="K45" s="23" t="str">
        <f t="shared" si="1"/>
        <v/>
      </c>
      <c r="M45" s="60" t="str">
        <f>IF(B45="","",IF(B45*2='Setup &amp; Summary'!$N$21,"midstation row!",""))</f>
        <v/>
      </c>
    </row>
    <row r="46" spans="1:13" x14ac:dyDescent="0.2">
      <c r="A46" s="69">
        <f t="shared" si="5"/>
        <v>37</v>
      </c>
      <c r="B46" s="57" t="str">
        <f>IF('Setup &amp; Summary'!$N$21&gt;A46,A!B45+1,"")</f>
        <v/>
      </c>
      <c r="C46" s="71"/>
      <c r="D46" s="72"/>
      <c r="E46" s="72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68" t="str">
        <f>IF(B46="","",IF(B46*2='Setup &amp; Summary'!$N$21,-H46,IF(A!B46*2&lt;'Setup &amp; Summary'!$N$21,A!I47+A!$N$5,A!I45-A!$N$5)))</f>
        <v/>
      </c>
      <c r="J46" s="22" t="str">
        <f t="shared" si="0"/>
        <v/>
      </c>
      <c r="K46" s="23" t="str">
        <f t="shared" si="1"/>
        <v/>
      </c>
      <c r="M46" s="60" t="str">
        <f>IF(B46="","",IF(B46*2='Setup &amp; Summary'!$N$21,"midstation row!",""))</f>
        <v/>
      </c>
    </row>
    <row r="47" spans="1:13" x14ac:dyDescent="0.2">
      <c r="A47" s="69">
        <f t="shared" si="5"/>
        <v>38</v>
      </c>
      <c r="B47" s="57" t="str">
        <f>IF('Setup &amp; Summary'!$N$21&gt;A47,A!B46+1,"")</f>
        <v/>
      </c>
      <c r="C47" s="71"/>
      <c r="D47" s="72"/>
      <c r="E47" s="72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68" t="str">
        <f>IF(B47="","",IF(B47*2='Setup &amp; Summary'!$N$21,-H47,IF(A!B47*2&lt;'Setup &amp; Summary'!$N$21,A!I48+A!$N$5,A!I46-A!$N$5)))</f>
        <v/>
      </c>
      <c r="J47" s="22" t="str">
        <f t="shared" si="0"/>
        <v/>
      </c>
      <c r="K47" s="23" t="str">
        <f t="shared" si="1"/>
        <v/>
      </c>
      <c r="M47" s="60" t="str">
        <f>IF(B47="","",IF(B47*2='Setup &amp; Summary'!$N$21,"midstation row!",""))</f>
        <v/>
      </c>
    </row>
    <row r="48" spans="1:13" x14ac:dyDescent="0.2">
      <c r="A48" s="69">
        <f t="shared" si="5"/>
        <v>39</v>
      </c>
      <c r="B48" s="57" t="str">
        <f>IF('Setup &amp; Summary'!$N$21&gt;A48,A!B47+1,"")</f>
        <v/>
      </c>
      <c r="C48" s="71"/>
      <c r="D48" s="72"/>
      <c r="E48" s="72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68" t="str">
        <f>IF(B48="","",IF(B48*2='Setup &amp; Summary'!$N$21,-H48,IF(A!B48*2&lt;'Setup &amp; Summary'!$N$21,A!I49+A!$N$5,A!I47-A!$N$5)))</f>
        <v/>
      </c>
      <c r="J48" s="22" t="str">
        <f t="shared" si="0"/>
        <v/>
      </c>
      <c r="K48" s="23" t="str">
        <f t="shared" si="1"/>
        <v/>
      </c>
      <c r="M48" s="60" t="str">
        <f>IF(B48="","",IF(B48*2='Setup &amp; Summary'!$N$21,"midstation row!",""))</f>
        <v/>
      </c>
    </row>
    <row r="49" spans="1:13" x14ac:dyDescent="0.2">
      <c r="A49" s="69">
        <f t="shared" si="5"/>
        <v>40</v>
      </c>
      <c r="B49" s="57" t="str">
        <f>IF('Setup &amp; Summary'!$N$21&gt;A49,A!B48+1,"")</f>
        <v/>
      </c>
      <c r="C49" s="71"/>
      <c r="D49" s="72"/>
      <c r="E49" s="72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68" t="str">
        <f>IF(B49="","",IF(B49*2='Setup &amp; Summary'!$N$21,-H49,IF(A!B49*2&lt;'Setup &amp; Summary'!$N$21,A!I50+A!$N$5,A!I48-A!$N$5)))</f>
        <v/>
      </c>
      <c r="J49" s="22" t="str">
        <f t="shared" si="0"/>
        <v/>
      </c>
      <c r="K49" s="23" t="str">
        <f t="shared" si="1"/>
        <v/>
      </c>
      <c r="M49" s="60" t="str">
        <f>IF(B49="","",IF(B49*2='Setup &amp; Summary'!$N$21,"midstation row!",""))</f>
        <v/>
      </c>
    </row>
    <row r="50" spans="1:13" x14ac:dyDescent="0.2">
      <c r="A50" s="69">
        <f t="shared" si="5"/>
        <v>41</v>
      </c>
      <c r="B50" s="57" t="str">
        <f>IF('Setup &amp; Summary'!$N$21&gt;A50,A!B49+1,"")</f>
        <v/>
      </c>
      <c r="C50" s="71"/>
      <c r="D50" s="72"/>
      <c r="E50" s="72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68" t="str">
        <f>IF(B50="","",IF(B50*2='Setup &amp; Summary'!$N$21,-H50,IF(A!B50*2&lt;'Setup &amp; Summary'!$N$21,A!I51+A!$N$5,A!I49-A!$N$5)))</f>
        <v/>
      </c>
      <c r="J50" s="22" t="str">
        <f t="shared" si="0"/>
        <v/>
      </c>
      <c r="K50" s="23" t="str">
        <f t="shared" si="1"/>
        <v/>
      </c>
      <c r="M50" s="60" t="str">
        <f>IF(B50="","",IF(B50*2='Setup &amp; Summary'!$N$21,"midstation row!",""))</f>
        <v/>
      </c>
    </row>
    <row r="51" spans="1:13" x14ac:dyDescent="0.2">
      <c r="A51" s="69">
        <f t="shared" si="5"/>
        <v>42</v>
      </c>
      <c r="B51" s="57" t="str">
        <f>IF('Setup &amp; Summary'!$N$21&gt;A51,A!B50+1,"")</f>
        <v/>
      </c>
      <c r="C51" s="71"/>
      <c r="D51" s="72"/>
      <c r="E51" s="72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68" t="str">
        <f>IF(B51="","",IF(B51*2='Setup &amp; Summary'!$N$21,-H51,IF(A!B51*2&lt;'Setup &amp; Summary'!$N$21,A!I52+A!$N$5,A!I50-A!$N$5)))</f>
        <v/>
      </c>
      <c r="J51" s="22" t="str">
        <f t="shared" si="0"/>
        <v/>
      </c>
      <c r="K51" s="23" t="str">
        <f t="shared" si="1"/>
        <v/>
      </c>
      <c r="M51" s="60" t="str">
        <f>IF(B51="","",IF(B51*2='Setup &amp; Summary'!$N$21,"midstation row!",""))</f>
        <v/>
      </c>
    </row>
    <row r="52" spans="1:13" x14ac:dyDescent="0.2">
      <c r="A52" s="69">
        <f t="shared" si="5"/>
        <v>43</v>
      </c>
      <c r="B52" s="57" t="str">
        <f>IF('Setup &amp; Summary'!$N$21&gt;A52,A!B51+1,"")</f>
        <v/>
      </c>
      <c r="C52" s="71"/>
      <c r="D52" s="72"/>
      <c r="E52" s="72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68" t="str">
        <f>IF(B52="","",IF(B52*2='Setup &amp; Summary'!$N$21,-H52,IF(A!B52*2&lt;'Setup &amp; Summary'!$N$21,A!I53+A!$N$5,A!I51-A!$N$5)))</f>
        <v/>
      </c>
      <c r="J52" s="22" t="str">
        <f t="shared" si="0"/>
        <v/>
      </c>
      <c r="K52" s="23" t="str">
        <f t="shared" si="1"/>
        <v/>
      </c>
      <c r="M52" s="60" t="str">
        <f>IF(B52="","",IF(B52*2='Setup &amp; Summary'!$N$21,"midstation row!",""))</f>
        <v/>
      </c>
    </row>
    <row r="53" spans="1:13" x14ac:dyDescent="0.2">
      <c r="A53" s="69">
        <f t="shared" si="5"/>
        <v>44</v>
      </c>
      <c r="B53" s="57" t="str">
        <f>IF('Setup &amp; Summary'!$N$21&gt;A53,A!B52+1,"")</f>
        <v/>
      </c>
      <c r="C53" s="71"/>
      <c r="D53" s="72"/>
      <c r="E53" s="72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68" t="str">
        <f>IF(B53="","",IF(B53*2='Setup &amp; Summary'!$N$21,-H53,IF(A!B53*2&lt;'Setup &amp; Summary'!$N$21,A!I54+A!$N$5,A!I52-A!$N$5)))</f>
        <v/>
      </c>
      <c r="J53" s="22" t="str">
        <f t="shared" si="0"/>
        <v/>
      </c>
      <c r="K53" s="23" t="str">
        <f t="shared" si="1"/>
        <v/>
      </c>
      <c r="M53" s="60" t="str">
        <f>IF(B53="","",IF(B53*2='Setup &amp; Summary'!$N$21,"midstation row!",""))</f>
        <v/>
      </c>
    </row>
    <row r="54" spans="1:13" x14ac:dyDescent="0.2">
      <c r="A54" s="69">
        <f t="shared" si="5"/>
        <v>45</v>
      </c>
      <c r="B54" s="57" t="str">
        <f>IF('Setup &amp; Summary'!$N$21&gt;A54,A!B53+1,"")</f>
        <v/>
      </c>
      <c r="C54" s="71"/>
      <c r="D54" s="72"/>
      <c r="E54" s="72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68" t="str">
        <f>IF(B54="","",IF(B54*2='Setup &amp; Summary'!$N$21,-H54,IF(A!B54*2&lt;'Setup &amp; Summary'!$N$21,A!I55+A!$N$5,A!I53-A!$N$5)))</f>
        <v/>
      </c>
      <c r="J54" s="22" t="str">
        <f t="shared" si="0"/>
        <v/>
      </c>
      <c r="K54" s="23" t="str">
        <f t="shared" si="1"/>
        <v/>
      </c>
      <c r="M54" s="60" t="str">
        <f>IF(B54="","",IF(B54*2='Setup &amp; Summary'!$N$21,"midstation row!",""))</f>
        <v/>
      </c>
    </row>
    <row r="55" spans="1:13" x14ac:dyDescent="0.2">
      <c r="A55" s="69">
        <f t="shared" si="5"/>
        <v>46</v>
      </c>
      <c r="B55" s="57" t="str">
        <f>IF('Setup &amp; Summary'!$N$21&gt;A55,A!B54+1,"")</f>
        <v/>
      </c>
      <c r="C55" s="71"/>
      <c r="D55" s="72"/>
      <c r="E55" s="72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68" t="str">
        <f>IF(B55="","",IF(B55*2='Setup &amp; Summary'!$N$21,-H55,IF(A!B55*2&lt;'Setup &amp; Summary'!$N$21,A!I56+A!$N$5,A!I54-A!$N$5)))</f>
        <v/>
      </c>
      <c r="J55" s="22" t="str">
        <f t="shared" si="0"/>
        <v/>
      </c>
      <c r="K55" s="23" t="str">
        <f t="shared" si="1"/>
        <v/>
      </c>
      <c r="M55" s="60" t="str">
        <f>IF(B55="","",IF(B55*2='Setup &amp; Summary'!$N$21,"midstation row!",""))</f>
        <v/>
      </c>
    </row>
    <row r="56" spans="1:13" x14ac:dyDescent="0.2">
      <c r="A56" s="69">
        <f t="shared" si="5"/>
        <v>47</v>
      </c>
      <c r="B56" s="57" t="str">
        <f>IF('Setup &amp; Summary'!$N$21&gt;A56,A!B55+1,"")</f>
        <v/>
      </c>
      <c r="C56" s="71"/>
      <c r="D56" s="72"/>
      <c r="E56" s="72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68" t="str">
        <f>IF(B56="","",IF(B56*2='Setup &amp; Summary'!$N$21,-H56,IF(A!B56*2&lt;'Setup &amp; Summary'!$N$21,A!I57+A!$N$5,A!I55-A!$N$5)))</f>
        <v/>
      </c>
      <c r="J56" s="22" t="str">
        <f t="shared" si="0"/>
        <v/>
      </c>
      <c r="K56" s="23" t="str">
        <f t="shared" si="1"/>
        <v/>
      </c>
      <c r="M56" s="60" t="str">
        <f>IF(B56="","",IF(B56*2='Setup &amp; Summary'!$N$21,"midstation row!",""))</f>
        <v/>
      </c>
    </row>
    <row r="57" spans="1:13" x14ac:dyDescent="0.2">
      <c r="A57" s="69">
        <f t="shared" si="5"/>
        <v>48</v>
      </c>
      <c r="B57" s="57" t="str">
        <f>IF('Setup &amp; Summary'!$N$21&gt;A57,A!B56+1,"")</f>
        <v/>
      </c>
      <c r="C57" s="71"/>
      <c r="D57" s="72"/>
      <c r="E57" s="72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68" t="str">
        <f>IF(B57="","",IF(B57*2='Setup &amp; Summary'!$N$21,-H57,IF(A!B57*2&lt;'Setup &amp; Summary'!$N$21,A!I58+A!$N$5,A!I56-A!$N$5)))</f>
        <v/>
      </c>
      <c r="J57" s="22" t="str">
        <f t="shared" si="0"/>
        <v/>
      </c>
      <c r="K57" s="23" t="str">
        <f t="shared" si="1"/>
        <v/>
      </c>
      <c r="M57" s="60" t="str">
        <f>IF(B57="","",IF(B57*2='Setup &amp; Summary'!$N$21,"midstation row!",""))</f>
        <v/>
      </c>
    </row>
    <row r="58" spans="1:13" x14ac:dyDescent="0.2">
      <c r="A58" s="69">
        <f t="shared" si="5"/>
        <v>49</v>
      </c>
      <c r="B58" s="57" t="str">
        <f>IF('Setup &amp; Summary'!$N$21&gt;A58,A!B57+1,"")</f>
        <v/>
      </c>
      <c r="C58" s="71"/>
      <c r="D58" s="72"/>
      <c r="E58" s="72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68" t="str">
        <f>IF(B58="","",IF(B58*2='Setup &amp; Summary'!$N$21,-H58,IF(A!B58*2&lt;'Setup &amp; Summary'!$N$21,A!I59+A!$N$5,A!I57-A!$N$5)))</f>
        <v/>
      </c>
      <c r="J58" s="22" t="str">
        <f t="shared" si="0"/>
        <v/>
      </c>
      <c r="K58" s="23" t="str">
        <f t="shared" si="1"/>
        <v/>
      </c>
      <c r="M58" s="60" t="str">
        <f>IF(B58="","",IF(B58*2='Setup &amp; Summary'!$N$21,"midstation row!",""))</f>
        <v/>
      </c>
    </row>
    <row r="59" spans="1:13" x14ac:dyDescent="0.2">
      <c r="A59" s="69">
        <f t="shared" si="5"/>
        <v>50</v>
      </c>
      <c r="B59" s="57" t="str">
        <f>IF('Setup &amp; Summary'!$N$21&gt;A59,A!B58+1,"")</f>
        <v/>
      </c>
      <c r="C59" s="71"/>
      <c r="D59" s="72"/>
      <c r="E59" s="72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68" t="str">
        <f>IF(B59="","",IF(B59*2='Setup &amp; Summary'!$N$21,-H59,IF(A!B59*2&lt;'Setup &amp; Summary'!$N$21,A!I60+A!$N$5,A!I58-A!$N$5)))</f>
        <v/>
      </c>
      <c r="J59" s="22" t="str">
        <f t="shared" si="0"/>
        <v/>
      </c>
      <c r="K59" s="23" t="str">
        <f t="shared" si="1"/>
        <v/>
      </c>
      <c r="M59" s="60" t="str">
        <f>IF(B59="","",IF(B59*2='Setup &amp; Summary'!$N$21,"midstation row!",""))</f>
        <v/>
      </c>
    </row>
    <row r="60" spans="1:13" x14ac:dyDescent="0.2">
      <c r="A60" s="69">
        <f t="shared" si="5"/>
        <v>51</v>
      </c>
      <c r="B60" s="57" t="str">
        <f>IF('Setup &amp; Summary'!$N$21&gt;A60,A!B59+1,"")</f>
        <v/>
      </c>
      <c r="C60" s="71"/>
      <c r="D60" s="72"/>
      <c r="E60" s="72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68" t="str">
        <f>IF(B60="","",IF(B60*2='Setup &amp; Summary'!$N$21,-H60,IF(A!B60*2&lt;'Setup &amp; Summary'!$N$21,A!I61+A!$N$5,A!I59-A!$N$5)))</f>
        <v/>
      </c>
      <c r="J60" s="22" t="str">
        <f t="shared" si="0"/>
        <v/>
      </c>
      <c r="K60" s="23" t="str">
        <f t="shared" si="1"/>
        <v/>
      </c>
      <c r="M60" s="60" t="str">
        <f>IF(B60="","",IF(B60*2='Setup &amp; Summary'!$N$21,"midstation row!",""))</f>
        <v/>
      </c>
    </row>
    <row r="61" spans="1:13" x14ac:dyDescent="0.2">
      <c r="A61" s="69">
        <f t="shared" si="5"/>
        <v>52</v>
      </c>
      <c r="B61" s="57" t="str">
        <f>IF('Setup &amp; Summary'!$N$21&gt;A61,A!B60+1,"")</f>
        <v/>
      </c>
      <c r="C61" s="71"/>
      <c r="D61" s="72"/>
      <c r="E61" s="72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68" t="str">
        <f>IF(B61="","",IF(B61*2='Setup &amp; Summary'!$N$21,-H61,IF(A!B61*2&lt;'Setup &amp; Summary'!$N$21,A!I62+A!$N$5,A!I60-A!$N$5)))</f>
        <v/>
      </c>
      <c r="J61" s="22" t="str">
        <f t="shared" si="0"/>
        <v/>
      </c>
      <c r="K61" s="23" t="str">
        <f t="shared" si="1"/>
        <v/>
      </c>
      <c r="M61" s="60" t="str">
        <f>IF(B61="","",IF(B61*2='Setup &amp; Summary'!$N$21,"midstation row!",""))</f>
        <v/>
      </c>
    </row>
    <row r="62" spans="1:13" x14ac:dyDescent="0.2">
      <c r="A62" s="69">
        <f t="shared" si="5"/>
        <v>53</v>
      </c>
      <c r="B62" s="57" t="str">
        <f>IF('Setup &amp; Summary'!$N$21&gt;A62,A!B61+1,"")</f>
        <v/>
      </c>
      <c r="C62" s="71"/>
      <c r="D62" s="72"/>
      <c r="E62" s="72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68" t="str">
        <f>IF(B62="","",IF(B62*2='Setup &amp; Summary'!$N$21,-H62,IF(A!B62*2&lt;'Setup &amp; Summary'!$N$21,A!I63+A!$N$5,A!I61-A!$N$5)))</f>
        <v/>
      </c>
      <c r="J62" s="22" t="str">
        <f t="shared" si="0"/>
        <v/>
      </c>
      <c r="K62" s="23" t="str">
        <f t="shared" si="1"/>
        <v/>
      </c>
      <c r="M62" s="60" t="str">
        <f>IF(B62="","",IF(B62*2='Setup &amp; Summary'!$N$21,"midstation row!",""))</f>
        <v/>
      </c>
    </row>
    <row r="63" spans="1:13" x14ac:dyDescent="0.2">
      <c r="A63" s="69">
        <f t="shared" si="5"/>
        <v>54</v>
      </c>
      <c r="B63" s="57" t="str">
        <f>IF('Setup &amp; Summary'!$N$21&gt;A63,A!B62+1,"")</f>
        <v/>
      </c>
      <c r="C63" s="71"/>
      <c r="D63" s="72"/>
      <c r="E63" s="72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68" t="str">
        <f>IF(B63="","",IF(B63*2='Setup &amp; Summary'!$N$21,-H63,IF(A!B63*2&lt;'Setup &amp; Summary'!$N$21,A!I64+A!$N$5,A!I62-A!$N$5)))</f>
        <v/>
      </c>
      <c r="J63" s="22" t="str">
        <f t="shared" si="0"/>
        <v/>
      </c>
      <c r="K63" s="23" t="str">
        <f t="shared" si="1"/>
        <v/>
      </c>
      <c r="M63" s="60" t="str">
        <f>IF(B63="","",IF(B63*2='Setup &amp; Summary'!$N$21,"midstation row!",""))</f>
        <v/>
      </c>
    </row>
    <row r="64" spans="1:13" x14ac:dyDescent="0.2">
      <c r="A64" s="69">
        <f t="shared" si="5"/>
        <v>55</v>
      </c>
      <c r="B64" s="57" t="str">
        <f>IF('Setup &amp; Summary'!$N$21&gt;A64,A!B63+1,"")</f>
        <v/>
      </c>
      <c r="C64" s="71"/>
      <c r="D64" s="72"/>
      <c r="E64" s="72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68" t="str">
        <f>IF(B64="","",IF(B64*2='Setup &amp; Summary'!$N$21,-H64,IF(A!B64*2&lt;'Setup &amp; Summary'!$N$21,A!I65+A!$N$5,A!I63-A!$N$5)))</f>
        <v/>
      </c>
      <c r="J64" s="22" t="str">
        <f t="shared" si="0"/>
        <v/>
      </c>
      <c r="K64" s="23" t="str">
        <f t="shared" si="1"/>
        <v/>
      </c>
      <c r="M64" s="60" t="str">
        <f>IF(B64="","",IF(B64*2='Setup &amp; Summary'!$N$21,"midstation row!",""))</f>
        <v/>
      </c>
    </row>
    <row r="65" spans="1:13" x14ac:dyDescent="0.2">
      <c r="A65" s="69">
        <f t="shared" si="5"/>
        <v>56</v>
      </c>
      <c r="B65" s="57" t="str">
        <f>IF('Setup &amp; Summary'!$N$21&gt;A65,A!B64+1,"")</f>
        <v/>
      </c>
      <c r="C65" s="71"/>
      <c r="D65" s="72"/>
      <c r="E65" s="72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68" t="str">
        <f>IF(B65="","",IF(B65*2='Setup &amp; Summary'!$N$21,-H65,IF(A!B65*2&lt;'Setup &amp; Summary'!$N$21,A!I66+A!$N$5,A!I64-A!$N$5)))</f>
        <v/>
      </c>
      <c r="J65" s="22" t="str">
        <f t="shared" si="0"/>
        <v/>
      </c>
      <c r="K65" s="23" t="str">
        <f t="shared" si="1"/>
        <v/>
      </c>
      <c r="M65" s="60" t="str">
        <f>IF(B65="","",IF(B65*2='Setup &amp; Summary'!$N$21,"midstation row!",""))</f>
        <v/>
      </c>
    </row>
    <row r="66" spans="1:13" x14ac:dyDescent="0.2">
      <c r="A66" s="69">
        <f t="shared" si="5"/>
        <v>57</v>
      </c>
      <c r="B66" s="57" t="str">
        <f>IF('Setup &amp; Summary'!$N$21&gt;A66,A!B65+1,"")</f>
        <v/>
      </c>
      <c r="C66" s="71"/>
      <c r="D66" s="72"/>
      <c r="E66" s="72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68" t="str">
        <f>IF(B66="","",IF(B66*2='Setup &amp; Summary'!$N$21,-H66,IF(A!B66*2&lt;'Setup &amp; Summary'!$N$21,A!I67+A!$N$5,A!I65-A!$N$5)))</f>
        <v/>
      </c>
      <c r="J66" s="22" t="str">
        <f t="shared" si="0"/>
        <v/>
      </c>
      <c r="K66" s="23" t="str">
        <f t="shared" si="1"/>
        <v/>
      </c>
      <c r="M66" s="60" t="str">
        <f>IF(B66="","",IF(B66*2='Setup &amp; Summary'!$N$21,"midstation row!",""))</f>
        <v/>
      </c>
    </row>
    <row r="67" spans="1:13" x14ac:dyDescent="0.2">
      <c r="A67" s="69">
        <f t="shared" si="5"/>
        <v>58</v>
      </c>
      <c r="B67" s="57" t="str">
        <f>IF('Setup &amp; Summary'!$N$21&gt;A67,A!B66+1,"")</f>
        <v/>
      </c>
      <c r="C67" s="71"/>
      <c r="D67" s="72"/>
      <c r="E67" s="72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68" t="str">
        <f>IF(B67="","",IF(B67*2='Setup &amp; Summary'!$N$21,-H67,IF(A!B67*2&lt;'Setup &amp; Summary'!$N$21,A!I68+A!$N$5,A!I66-A!$N$5)))</f>
        <v/>
      </c>
      <c r="J67" s="22" t="str">
        <f t="shared" si="0"/>
        <v/>
      </c>
      <c r="K67" s="23" t="str">
        <f t="shared" si="1"/>
        <v/>
      </c>
      <c r="M67" s="60" t="str">
        <f>IF(B67="","",IF(B67*2='Setup &amp; Summary'!$N$21,"midstation row!",""))</f>
        <v/>
      </c>
    </row>
    <row r="68" spans="1:13" x14ac:dyDescent="0.2">
      <c r="A68" s="69">
        <f t="shared" si="5"/>
        <v>59</v>
      </c>
      <c r="B68" s="57" t="str">
        <f>IF('Setup &amp; Summary'!$N$21&gt;A68,A!B67+1,"")</f>
        <v/>
      </c>
      <c r="C68" s="71"/>
      <c r="D68" s="72"/>
      <c r="E68" s="72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68" t="str">
        <f>IF(B68="","",IF(B68*2='Setup &amp; Summary'!$N$21,-H68,IF(A!B68*2&lt;'Setup &amp; Summary'!$N$21,A!I69+A!$N$5,A!I67-A!$N$5)))</f>
        <v/>
      </c>
      <c r="J68" s="22" t="str">
        <f t="shared" si="0"/>
        <v/>
      </c>
      <c r="K68" s="23" t="str">
        <f t="shared" si="1"/>
        <v/>
      </c>
      <c r="M68" s="60" t="str">
        <f>IF(B68="","",IF(B68*2='Setup &amp; Summary'!$N$21,"midstation row!",""))</f>
        <v/>
      </c>
    </row>
    <row r="69" spans="1:13" x14ac:dyDescent="0.2">
      <c r="A69" s="69">
        <f t="shared" si="5"/>
        <v>60</v>
      </c>
      <c r="B69" s="57" t="str">
        <f>IF('Setup &amp; Summary'!$N$21&gt;A69,A!B68+1,"")</f>
        <v/>
      </c>
      <c r="C69" s="71"/>
      <c r="D69" s="72"/>
      <c r="E69" s="72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68" t="str">
        <f>IF(B69="","",IF(B69*2='Setup &amp; Summary'!$N$21,-H69,IF(A!B69*2&lt;'Setup &amp; Summary'!$N$21,A!I70+A!$N$5,A!I68-A!$N$5)))</f>
        <v/>
      </c>
      <c r="J69" s="22" t="str">
        <f t="shared" si="0"/>
        <v/>
      </c>
      <c r="K69" s="23" t="str">
        <f t="shared" si="1"/>
        <v/>
      </c>
      <c r="M69" s="60" t="str">
        <f>IF(B69="","",IF(B69*2='Setup &amp; Summary'!$N$21,"midstation row!",""))</f>
        <v/>
      </c>
    </row>
    <row r="70" spans="1:13" x14ac:dyDescent="0.2">
      <c r="A70" s="69">
        <f t="shared" si="5"/>
        <v>61</v>
      </c>
      <c r="B70" s="57" t="str">
        <f>IF('Setup &amp; Summary'!$N$21&gt;A70,A!B69+1,"")</f>
        <v/>
      </c>
      <c r="C70" s="71"/>
      <c r="D70" s="72"/>
      <c r="E70" s="72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68" t="str">
        <f>IF(B70="","",IF(B70*2='Setup &amp; Summary'!$N$21,-H70,IF(A!B70*2&lt;'Setup &amp; Summary'!$N$21,A!I71+A!$N$5,A!I69-A!$N$5)))</f>
        <v/>
      </c>
      <c r="J70" s="22" t="str">
        <f t="shared" si="0"/>
        <v/>
      </c>
      <c r="K70" s="23" t="str">
        <f t="shared" si="1"/>
        <v/>
      </c>
      <c r="M70" s="60" t="str">
        <f>IF(B70="","",IF(B70*2='Setup &amp; Summary'!$N$21,"midstation row!",""))</f>
        <v/>
      </c>
    </row>
    <row r="71" spans="1:13" x14ac:dyDescent="0.2">
      <c r="A71" s="69">
        <f t="shared" si="5"/>
        <v>62</v>
      </c>
      <c r="B71" s="57" t="str">
        <f>IF('Setup &amp; Summary'!$N$21&gt;A71,A!B70+1,"")</f>
        <v/>
      </c>
      <c r="C71" s="71"/>
      <c r="D71" s="72"/>
      <c r="E71" s="72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68" t="str">
        <f>IF(B71="","",IF(B71*2='Setup &amp; Summary'!$N$21,-H71,IF(A!B71*2&lt;'Setup &amp; Summary'!$N$21,A!I72+A!$N$5,A!I70-A!$N$5)))</f>
        <v/>
      </c>
      <c r="J71" s="22" t="str">
        <f t="shared" si="0"/>
        <v/>
      </c>
      <c r="K71" s="23" t="str">
        <f t="shared" si="1"/>
        <v/>
      </c>
      <c r="M71" s="60" t="str">
        <f>IF(B71="","",IF(B71*2='Setup &amp; Summary'!$N$21,"midstation row!",""))</f>
        <v/>
      </c>
    </row>
    <row r="72" spans="1:13" x14ac:dyDescent="0.2">
      <c r="A72" s="69">
        <f t="shared" si="5"/>
        <v>63</v>
      </c>
      <c r="B72" s="57" t="str">
        <f>IF('Setup &amp; Summary'!$N$21&gt;A72,A!B71+1,"")</f>
        <v/>
      </c>
      <c r="C72" s="71"/>
      <c r="D72" s="72"/>
      <c r="E72" s="72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68" t="str">
        <f>IF(B72="","",IF(B72*2='Setup &amp; Summary'!$N$21,-H72,IF(A!B72*2&lt;'Setup &amp; Summary'!$N$21,A!I73+A!$N$5,A!I71-A!$N$5)))</f>
        <v/>
      </c>
      <c r="J72" s="22" t="str">
        <f t="shared" si="0"/>
        <v/>
      </c>
      <c r="K72" s="23" t="str">
        <f t="shared" si="1"/>
        <v/>
      </c>
      <c r="M72" s="60" t="str">
        <f>IF(B72="","",IF(B72*2='Setup &amp; Summary'!$N$21,"midstation row!",""))</f>
        <v/>
      </c>
    </row>
    <row r="73" spans="1:13" x14ac:dyDescent="0.2">
      <c r="A73" s="69">
        <f t="shared" si="5"/>
        <v>64</v>
      </c>
      <c r="B73" s="57" t="str">
        <f>IF('Setup &amp; Summary'!$N$21&gt;A73,A!B72+1,"")</f>
        <v/>
      </c>
      <c r="C73" s="71"/>
      <c r="D73" s="72"/>
      <c r="E73" s="72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68" t="str">
        <f>IF(B73="","",IF(B73*2='Setup &amp; Summary'!$N$21,-H73,IF(A!B73*2&lt;'Setup &amp; Summary'!$N$21,A!I74+A!$N$5,A!I72-A!$N$5)))</f>
        <v/>
      </c>
      <c r="J73" s="22" t="str">
        <f t="shared" ref="J73:J108" si="6">IF(B73="","",I73+H73)</f>
        <v/>
      </c>
      <c r="K73" s="23" t="str">
        <f t="shared" ref="K73:K108" si="7">IF(B73="","",J73*$N$7)</f>
        <v/>
      </c>
      <c r="M73" s="60" t="str">
        <f>IF(B73="","",IF(B73*2='Setup &amp; Summary'!$N$21,"midstation row!",""))</f>
        <v/>
      </c>
    </row>
    <row r="74" spans="1:13" x14ac:dyDescent="0.2">
      <c r="A74" s="69">
        <f t="shared" si="5"/>
        <v>65</v>
      </c>
      <c r="B74" s="57" t="str">
        <f>IF('Setup &amp; Summary'!$N$21&gt;A74,A!B73+1,"")</f>
        <v/>
      </c>
      <c r="C74" s="71"/>
      <c r="D74" s="72"/>
      <c r="E74" s="72"/>
      <c r="F74" s="25" t="str">
        <f t="shared" ref="F74:F108" si="8">IF(B74="","",AVERAGE(C74:E74))</f>
        <v/>
      </c>
      <c r="G74" s="21" t="str">
        <f t="shared" ref="G74:G108" si="9">IF(B74="","",F74-$F$9)</f>
        <v/>
      </c>
      <c r="H74" s="25" t="str">
        <f t="shared" ref="H74:H108" si="10">IF(B74="","",H73+G74)</f>
        <v/>
      </c>
      <c r="I74" s="68" t="str">
        <f>IF(B74="","",IF(B74*2='Setup &amp; Summary'!$N$21,-H74,IF(A!B74*2&lt;'Setup &amp; Summary'!$N$21,A!I75+A!$N$5,A!I73-A!$N$5)))</f>
        <v/>
      </c>
      <c r="J74" s="22" t="str">
        <f t="shared" si="6"/>
        <v/>
      </c>
      <c r="K74" s="23" t="str">
        <f t="shared" si="7"/>
        <v/>
      </c>
      <c r="M74" s="60" t="str">
        <f>IF(B74="","",IF(B74*2='Setup &amp; Summary'!$N$21,"midstation row!",""))</f>
        <v/>
      </c>
    </row>
    <row r="75" spans="1:13" x14ac:dyDescent="0.2">
      <c r="A75" s="69">
        <f t="shared" si="5"/>
        <v>66</v>
      </c>
      <c r="B75" s="57" t="str">
        <f>IF('Setup &amp; Summary'!$N$21&gt;A75,A!B74+1,"")</f>
        <v/>
      </c>
      <c r="C75" s="71"/>
      <c r="D75" s="72"/>
      <c r="E75" s="72"/>
      <c r="F75" s="25" t="str">
        <f t="shared" si="8"/>
        <v/>
      </c>
      <c r="G75" s="21" t="str">
        <f t="shared" si="9"/>
        <v/>
      </c>
      <c r="H75" s="25" t="str">
        <f t="shared" si="10"/>
        <v/>
      </c>
      <c r="I75" s="68" t="str">
        <f>IF(B75="","",IF(B75*2='Setup &amp; Summary'!$N$21,-H75,IF(A!B75*2&lt;'Setup &amp; Summary'!$N$21,A!I76+A!$N$5,A!I74-A!$N$5)))</f>
        <v/>
      </c>
      <c r="J75" s="22" t="str">
        <f t="shared" si="6"/>
        <v/>
      </c>
      <c r="K75" s="23" t="str">
        <f t="shared" si="7"/>
        <v/>
      </c>
      <c r="M75" s="60" t="str">
        <f>IF(B75="","",IF(B75*2='Setup &amp; Summary'!$N$21,"midstation row!",""))</f>
        <v/>
      </c>
    </row>
    <row r="76" spans="1:13" x14ac:dyDescent="0.2">
      <c r="A76" s="69">
        <f t="shared" ref="A76:A108" si="11">A75+1</f>
        <v>67</v>
      </c>
      <c r="B76" s="57" t="str">
        <f>IF('Setup &amp; Summary'!$N$21&gt;A76,A!B75+1,"")</f>
        <v/>
      </c>
      <c r="C76" s="71"/>
      <c r="D76" s="72"/>
      <c r="E76" s="72"/>
      <c r="F76" s="25" t="str">
        <f t="shared" si="8"/>
        <v/>
      </c>
      <c r="G76" s="21" t="str">
        <f t="shared" si="9"/>
        <v/>
      </c>
      <c r="H76" s="25" t="str">
        <f t="shared" si="10"/>
        <v/>
      </c>
      <c r="I76" s="68" t="str">
        <f>IF(B76="","",IF(B76*2='Setup &amp; Summary'!$N$21,-H76,IF(A!B76*2&lt;'Setup &amp; Summary'!$N$21,A!I77+A!$N$5,A!I75-A!$N$5)))</f>
        <v/>
      </c>
      <c r="J76" s="22" t="str">
        <f t="shared" si="6"/>
        <v/>
      </c>
      <c r="K76" s="23" t="str">
        <f t="shared" si="7"/>
        <v/>
      </c>
      <c r="M76" s="60" t="str">
        <f>IF(B76="","",IF(B76*2='Setup &amp; Summary'!$N$21,"midstation row!",""))</f>
        <v/>
      </c>
    </row>
    <row r="77" spans="1:13" x14ac:dyDescent="0.2">
      <c r="A77" s="69">
        <f t="shared" si="11"/>
        <v>68</v>
      </c>
      <c r="B77" s="57" t="str">
        <f>IF('Setup &amp; Summary'!$N$21&gt;A77,A!B76+1,"")</f>
        <v/>
      </c>
      <c r="C77" s="71"/>
      <c r="D77" s="72"/>
      <c r="E77" s="72"/>
      <c r="F77" s="25" t="str">
        <f t="shared" si="8"/>
        <v/>
      </c>
      <c r="G77" s="21" t="str">
        <f t="shared" si="9"/>
        <v/>
      </c>
      <c r="H77" s="25" t="str">
        <f t="shared" si="10"/>
        <v/>
      </c>
      <c r="I77" s="68" t="str">
        <f>IF(B77="","",IF(B77*2='Setup &amp; Summary'!$N$21,-H77,IF(A!B77*2&lt;'Setup &amp; Summary'!$N$21,A!I78+A!$N$5,A!I76-A!$N$5)))</f>
        <v/>
      </c>
      <c r="J77" s="22" t="str">
        <f t="shared" si="6"/>
        <v/>
      </c>
      <c r="K77" s="23" t="str">
        <f t="shared" si="7"/>
        <v/>
      </c>
      <c r="M77" s="60" t="str">
        <f>IF(B77="","",IF(B77*2='Setup &amp; Summary'!$N$21,"midstation row!",""))</f>
        <v/>
      </c>
    </row>
    <row r="78" spans="1:13" x14ac:dyDescent="0.2">
      <c r="A78" s="69">
        <f t="shared" si="11"/>
        <v>69</v>
      </c>
      <c r="B78" s="57" t="str">
        <f>IF('Setup &amp; Summary'!$N$21&gt;A78,A!B77+1,"")</f>
        <v/>
      </c>
      <c r="C78" s="71"/>
      <c r="D78" s="72"/>
      <c r="E78" s="72"/>
      <c r="F78" s="25" t="str">
        <f t="shared" si="8"/>
        <v/>
      </c>
      <c r="G78" s="21" t="str">
        <f t="shared" si="9"/>
        <v/>
      </c>
      <c r="H78" s="25" t="str">
        <f t="shared" si="10"/>
        <v/>
      </c>
      <c r="I78" s="68" t="str">
        <f>IF(B78="","",IF(B78*2='Setup &amp; Summary'!$N$21,-H78,IF(A!B78*2&lt;'Setup &amp; Summary'!$N$21,A!I79+A!$N$5,A!I77-A!$N$5)))</f>
        <v/>
      </c>
      <c r="J78" s="22" t="str">
        <f t="shared" si="6"/>
        <v/>
      </c>
      <c r="K78" s="23" t="str">
        <f t="shared" si="7"/>
        <v/>
      </c>
      <c r="M78" s="60" t="str">
        <f>IF(B78="","",IF(B78*2='Setup &amp; Summary'!$N$21,"midstation row!",""))</f>
        <v/>
      </c>
    </row>
    <row r="79" spans="1:13" x14ac:dyDescent="0.2">
      <c r="A79" s="69">
        <f t="shared" si="11"/>
        <v>70</v>
      </c>
      <c r="B79" s="57" t="str">
        <f>IF('Setup &amp; Summary'!$N$21&gt;A79,A!B78+1,"")</f>
        <v/>
      </c>
      <c r="C79" s="71"/>
      <c r="D79" s="72"/>
      <c r="E79" s="72"/>
      <c r="F79" s="25" t="str">
        <f t="shared" si="8"/>
        <v/>
      </c>
      <c r="G79" s="21" t="str">
        <f t="shared" si="9"/>
        <v/>
      </c>
      <c r="H79" s="25" t="str">
        <f t="shared" si="10"/>
        <v/>
      </c>
      <c r="I79" s="68" t="str">
        <f>IF(B79="","",IF(B79*2='Setup &amp; Summary'!$N$21,-H79,IF(A!B79*2&lt;'Setup &amp; Summary'!$N$21,A!I80+A!$N$5,A!I78-A!$N$5)))</f>
        <v/>
      </c>
      <c r="J79" s="22" t="str">
        <f t="shared" si="6"/>
        <v/>
      </c>
      <c r="K79" s="23" t="str">
        <f t="shared" si="7"/>
        <v/>
      </c>
      <c r="M79" s="60" t="str">
        <f>IF(B79="","",IF(B79*2='Setup &amp; Summary'!$N$21,"midstation row!",""))</f>
        <v/>
      </c>
    </row>
    <row r="80" spans="1:13" x14ac:dyDescent="0.2">
      <c r="A80" s="69">
        <f t="shared" si="11"/>
        <v>71</v>
      </c>
      <c r="B80" s="57" t="str">
        <f>IF('Setup &amp; Summary'!$N$21&gt;A80,A!B79+1,"")</f>
        <v/>
      </c>
      <c r="C80" s="71"/>
      <c r="D80" s="72"/>
      <c r="E80" s="72"/>
      <c r="F80" s="25" t="str">
        <f t="shared" si="8"/>
        <v/>
      </c>
      <c r="G80" s="21" t="str">
        <f t="shared" si="9"/>
        <v/>
      </c>
      <c r="H80" s="25" t="str">
        <f t="shared" si="10"/>
        <v/>
      </c>
      <c r="I80" s="68" t="str">
        <f>IF(B80="","",IF(B80*2='Setup &amp; Summary'!$N$21,-H80,IF(A!B80*2&lt;'Setup &amp; Summary'!$N$21,A!I81+A!$N$5,A!I79-A!$N$5)))</f>
        <v/>
      </c>
      <c r="J80" s="22" t="str">
        <f t="shared" si="6"/>
        <v/>
      </c>
      <c r="K80" s="23" t="str">
        <f t="shared" si="7"/>
        <v/>
      </c>
      <c r="M80" s="60" t="str">
        <f>IF(B80="","",IF(B80*2='Setup &amp; Summary'!$N$21,"midstation row!",""))</f>
        <v/>
      </c>
    </row>
    <row r="81" spans="1:13" x14ac:dyDescent="0.2">
      <c r="A81" s="69">
        <f t="shared" si="11"/>
        <v>72</v>
      </c>
      <c r="B81" s="57" t="str">
        <f>IF('Setup &amp; Summary'!$N$21&gt;A81,A!B80+1,"")</f>
        <v/>
      </c>
      <c r="C81" s="71"/>
      <c r="D81" s="72"/>
      <c r="E81" s="72"/>
      <c r="F81" s="25" t="str">
        <f t="shared" si="8"/>
        <v/>
      </c>
      <c r="G81" s="21" t="str">
        <f t="shared" si="9"/>
        <v/>
      </c>
      <c r="H81" s="25" t="str">
        <f t="shared" si="10"/>
        <v/>
      </c>
      <c r="I81" s="68" t="str">
        <f>IF(B81="","",IF(B81*2='Setup &amp; Summary'!$N$21,-H81,IF(A!B81*2&lt;'Setup &amp; Summary'!$N$21,A!I82+A!$N$5,A!I80-A!$N$5)))</f>
        <v/>
      </c>
      <c r="J81" s="22" t="str">
        <f t="shared" si="6"/>
        <v/>
      </c>
      <c r="K81" s="23" t="str">
        <f t="shared" si="7"/>
        <v/>
      </c>
      <c r="M81" s="60" t="str">
        <f>IF(B81="","",IF(B81*2='Setup &amp; Summary'!$N$21,"midstation row!",""))</f>
        <v/>
      </c>
    </row>
    <row r="82" spans="1:13" x14ac:dyDescent="0.2">
      <c r="A82" s="69">
        <f t="shared" si="11"/>
        <v>73</v>
      </c>
      <c r="B82" s="57" t="str">
        <f>IF('Setup &amp; Summary'!$N$21&gt;A82,A!B81+1,"")</f>
        <v/>
      </c>
      <c r="C82" s="71"/>
      <c r="D82" s="72"/>
      <c r="E82" s="72"/>
      <c r="F82" s="25" t="str">
        <f t="shared" si="8"/>
        <v/>
      </c>
      <c r="G82" s="21" t="str">
        <f t="shared" si="9"/>
        <v/>
      </c>
      <c r="H82" s="25" t="str">
        <f t="shared" si="10"/>
        <v/>
      </c>
      <c r="I82" s="68" t="str">
        <f>IF(B82="","",IF(B82*2='Setup &amp; Summary'!$N$21,-H82,IF(A!B82*2&lt;'Setup &amp; Summary'!$N$21,A!I83+A!$N$5,A!I81-A!$N$5)))</f>
        <v/>
      </c>
      <c r="J82" s="22" t="str">
        <f t="shared" si="6"/>
        <v/>
      </c>
      <c r="K82" s="23" t="str">
        <f t="shared" si="7"/>
        <v/>
      </c>
      <c r="M82" s="60" t="str">
        <f>IF(B82="","",IF(B82*2='Setup &amp; Summary'!$N$21,"midstation row!",""))</f>
        <v/>
      </c>
    </row>
    <row r="83" spans="1:13" x14ac:dyDescent="0.2">
      <c r="A83" s="69">
        <f t="shared" si="11"/>
        <v>74</v>
      </c>
      <c r="B83" s="57" t="str">
        <f>IF('Setup &amp; Summary'!$N$21&gt;A83,A!B82+1,"")</f>
        <v/>
      </c>
      <c r="C83" s="71"/>
      <c r="D83" s="72"/>
      <c r="E83" s="72"/>
      <c r="F83" s="25" t="str">
        <f t="shared" si="8"/>
        <v/>
      </c>
      <c r="G83" s="21" t="str">
        <f t="shared" si="9"/>
        <v/>
      </c>
      <c r="H83" s="25" t="str">
        <f t="shared" si="10"/>
        <v/>
      </c>
      <c r="I83" s="68" t="str">
        <f>IF(B83="","",IF(B83*2='Setup &amp; Summary'!$N$21,-H83,IF(A!B83*2&lt;'Setup &amp; Summary'!$N$21,A!I84+A!$N$5,A!I82-A!$N$5)))</f>
        <v/>
      </c>
      <c r="J83" s="22" t="str">
        <f t="shared" si="6"/>
        <v/>
      </c>
      <c r="K83" s="23" t="str">
        <f t="shared" si="7"/>
        <v/>
      </c>
      <c r="M83" s="60" t="str">
        <f>IF(B83="","",IF(B83*2='Setup &amp; Summary'!$N$21,"midstation row!",""))</f>
        <v/>
      </c>
    </row>
    <row r="84" spans="1:13" x14ac:dyDescent="0.2">
      <c r="A84" s="69">
        <f t="shared" si="11"/>
        <v>75</v>
      </c>
      <c r="B84" s="57" t="str">
        <f>IF('Setup &amp; Summary'!$N$21&gt;A84,A!B83+1,"")</f>
        <v/>
      </c>
      <c r="C84" s="71"/>
      <c r="D84" s="72"/>
      <c r="E84" s="72"/>
      <c r="F84" s="25" t="str">
        <f t="shared" si="8"/>
        <v/>
      </c>
      <c r="G84" s="21" t="str">
        <f t="shared" si="9"/>
        <v/>
      </c>
      <c r="H84" s="25" t="str">
        <f t="shared" si="10"/>
        <v/>
      </c>
      <c r="I84" s="68" t="str">
        <f>IF(B84="","",IF(B84*2='Setup &amp; Summary'!$N$21,-H84,IF(A!B84*2&lt;'Setup &amp; Summary'!$N$21,A!I85+A!$N$5,A!I83-A!$N$5)))</f>
        <v/>
      </c>
      <c r="J84" s="22" t="str">
        <f t="shared" si="6"/>
        <v/>
      </c>
      <c r="K84" s="23" t="str">
        <f t="shared" si="7"/>
        <v/>
      </c>
      <c r="M84" s="60" t="str">
        <f>IF(B84="","",IF(B84*2='Setup &amp; Summary'!$N$21,"midstation row!",""))</f>
        <v/>
      </c>
    </row>
    <row r="85" spans="1:13" x14ac:dyDescent="0.2">
      <c r="A85" s="69">
        <f t="shared" si="11"/>
        <v>76</v>
      </c>
      <c r="B85" s="57" t="str">
        <f>IF('Setup &amp; Summary'!$N$21&gt;A85,A!B84+1,"")</f>
        <v/>
      </c>
      <c r="C85" s="71"/>
      <c r="D85" s="72"/>
      <c r="E85" s="72"/>
      <c r="F85" s="25" t="str">
        <f t="shared" si="8"/>
        <v/>
      </c>
      <c r="G85" s="21" t="str">
        <f t="shared" si="9"/>
        <v/>
      </c>
      <c r="H85" s="25" t="str">
        <f t="shared" si="10"/>
        <v/>
      </c>
      <c r="I85" s="68" t="str">
        <f>IF(B85="","",IF(B85*2='Setup &amp; Summary'!$N$21,-H85,IF(A!B85*2&lt;'Setup &amp; Summary'!$N$21,A!I86+A!$N$5,A!I84-A!$N$5)))</f>
        <v/>
      </c>
      <c r="J85" s="22" t="str">
        <f t="shared" si="6"/>
        <v/>
      </c>
      <c r="K85" s="23" t="str">
        <f t="shared" si="7"/>
        <v/>
      </c>
      <c r="M85" s="60" t="str">
        <f>IF(B85="","",IF(B85*2='Setup &amp; Summary'!$N$21,"midstation row!",""))</f>
        <v/>
      </c>
    </row>
    <row r="86" spans="1:13" x14ac:dyDescent="0.2">
      <c r="A86" s="69">
        <f t="shared" si="11"/>
        <v>77</v>
      </c>
      <c r="B86" s="57" t="str">
        <f>IF('Setup &amp; Summary'!$N$21&gt;A86,A!B85+1,"")</f>
        <v/>
      </c>
      <c r="C86" s="71"/>
      <c r="D86" s="72"/>
      <c r="E86" s="72"/>
      <c r="F86" s="25" t="str">
        <f t="shared" si="8"/>
        <v/>
      </c>
      <c r="G86" s="21" t="str">
        <f t="shared" si="9"/>
        <v/>
      </c>
      <c r="H86" s="25" t="str">
        <f t="shared" si="10"/>
        <v/>
      </c>
      <c r="I86" s="68" t="str">
        <f>IF(B86="","",IF(B86*2='Setup &amp; Summary'!$N$21,-H86,IF(A!B86*2&lt;'Setup &amp; Summary'!$N$21,A!I87+A!$N$5,A!I85-A!$N$5)))</f>
        <v/>
      </c>
      <c r="J86" s="22" t="str">
        <f t="shared" si="6"/>
        <v/>
      </c>
      <c r="K86" s="23" t="str">
        <f t="shared" si="7"/>
        <v/>
      </c>
      <c r="M86" s="60" t="str">
        <f>IF(B86="","",IF(B86*2='Setup &amp; Summary'!$N$21,"midstation row!",""))</f>
        <v/>
      </c>
    </row>
    <row r="87" spans="1:13" x14ac:dyDescent="0.2">
      <c r="A87" s="69">
        <f t="shared" si="11"/>
        <v>78</v>
      </c>
      <c r="B87" s="57" t="str">
        <f>IF('Setup &amp; Summary'!$N$21&gt;A87,A!B86+1,"")</f>
        <v/>
      </c>
      <c r="C87" s="71"/>
      <c r="D87" s="72"/>
      <c r="E87" s="72"/>
      <c r="F87" s="25" t="str">
        <f t="shared" si="8"/>
        <v/>
      </c>
      <c r="G87" s="21" t="str">
        <f t="shared" si="9"/>
        <v/>
      </c>
      <c r="H87" s="25" t="str">
        <f t="shared" si="10"/>
        <v/>
      </c>
      <c r="I87" s="68" t="str">
        <f>IF(B87="","",IF(B87*2='Setup &amp; Summary'!$N$21,-H87,IF(A!B87*2&lt;'Setup &amp; Summary'!$N$21,A!I88+A!$N$5,A!I86-A!$N$5)))</f>
        <v/>
      </c>
      <c r="J87" s="22" t="str">
        <f t="shared" si="6"/>
        <v/>
      </c>
      <c r="K87" s="23" t="str">
        <f t="shared" si="7"/>
        <v/>
      </c>
      <c r="M87" s="60" t="str">
        <f>IF(B87="","",IF(B87*2='Setup &amp; Summary'!$N$21,"midstation row!",""))</f>
        <v/>
      </c>
    </row>
    <row r="88" spans="1:13" x14ac:dyDescent="0.2">
      <c r="A88" s="69">
        <f t="shared" si="11"/>
        <v>79</v>
      </c>
      <c r="B88" s="57" t="str">
        <f>IF('Setup &amp; Summary'!$N$21&gt;A88,A!B87+1,"")</f>
        <v/>
      </c>
      <c r="C88" s="71"/>
      <c r="D88" s="72"/>
      <c r="E88" s="72"/>
      <c r="F88" s="25" t="str">
        <f t="shared" si="8"/>
        <v/>
      </c>
      <c r="G88" s="21" t="str">
        <f t="shared" si="9"/>
        <v/>
      </c>
      <c r="H88" s="25" t="str">
        <f t="shared" si="10"/>
        <v/>
      </c>
      <c r="I88" s="68" t="str">
        <f>IF(B88="","",IF(B88*2='Setup &amp; Summary'!$N$21,-H88,IF(A!B88*2&lt;'Setup &amp; Summary'!$N$21,A!I89+A!$N$5,A!I87-A!$N$5)))</f>
        <v/>
      </c>
      <c r="J88" s="22" t="str">
        <f t="shared" si="6"/>
        <v/>
      </c>
      <c r="K88" s="23" t="str">
        <f t="shared" si="7"/>
        <v/>
      </c>
      <c r="M88" s="60" t="str">
        <f>IF(B88="","",IF(B88*2='Setup &amp; Summary'!$N$21,"midstation row!",""))</f>
        <v/>
      </c>
    </row>
    <row r="89" spans="1:13" x14ac:dyDescent="0.2">
      <c r="A89" s="69">
        <f t="shared" si="11"/>
        <v>80</v>
      </c>
      <c r="B89" s="57" t="str">
        <f>IF('Setup &amp; Summary'!$N$21&gt;A89,A!B88+1,"")</f>
        <v/>
      </c>
      <c r="C89" s="71"/>
      <c r="D89" s="72"/>
      <c r="E89" s="72"/>
      <c r="F89" s="25" t="str">
        <f t="shared" si="8"/>
        <v/>
      </c>
      <c r="G89" s="21" t="str">
        <f t="shared" si="9"/>
        <v/>
      </c>
      <c r="H89" s="25" t="str">
        <f t="shared" si="10"/>
        <v/>
      </c>
      <c r="I89" s="68" t="str">
        <f>IF(B89="","",IF(B89*2='Setup &amp; Summary'!$N$21,-H89,IF(A!B89*2&lt;'Setup &amp; Summary'!$N$21,A!I90+A!$N$5,A!I88-A!$N$5)))</f>
        <v/>
      </c>
      <c r="J89" s="22" t="str">
        <f t="shared" si="6"/>
        <v/>
      </c>
      <c r="K89" s="23" t="str">
        <f t="shared" si="7"/>
        <v/>
      </c>
      <c r="M89" s="60" t="str">
        <f>IF(B89="","",IF(B89*2='Setup &amp; Summary'!$N$21,"midstation row!",""))</f>
        <v/>
      </c>
    </row>
    <row r="90" spans="1:13" x14ac:dyDescent="0.2">
      <c r="A90" s="69">
        <f t="shared" si="11"/>
        <v>81</v>
      </c>
      <c r="B90" s="57" t="str">
        <f>IF('Setup &amp; Summary'!$N$21&gt;A90,A!B89+1,"")</f>
        <v/>
      </c>
      <c r="C90" s="71"/>
      <c r="D90" s="72"/>
      <c r="E90" s="72"/>
      <c r="F90" s="25" t="str">
        <f t="shared" si="8"/>
        <v/>
      </c>
      <c r="G90" s="21" t="str">
        <f t="shared" si="9"/>
        <v/>
      </c>
      <c r="H90" s="25" t="str">
        <f t="shared" si="10"/>
        <v/>
      </c>
      <c r="I90" s="68" t="str">
        <f>IF(B90="","",IF(B90*2='Setup &amp; Summary'!$N$21,-H90,IF(A!B90*2&lt;'Setup &amp; Summary'!$N$21,A!I91+A!$N$5,A!I89-A!$N$5)))</f>
        <v/>
      </c>
      <c r="J90" s="22" t="str">
        <f t="shared" si="6"/>
        <v/>
      </c>
      <c r="K90" s="23" t="str">
        <f t="shared" si="7"/>
        <v/>
      </c>
      <c r="M90" s="60" t="str">
        <f>IF(B90="","",IF(B90*2='Setup &amp; Summary'!$N$21,"midstation row!",""))</f>
        <v/>
      </c>
    </row>
    <row r="91" spans="1:13" x14ac:dyDescent="0.2">
      <c r="A91" s="69">
        <f t="shared" si="11"/>
        <v>82</v>
      </c>
      <c r="B91" s="57" t="str">
        <f>IF('Setup &amp; Summary'!$N$21&gt;A91,A!B90+1,"")</f>
        <v/>
      </c>
      <c r="C91" s="71"/>
      <c r="D91" s="72"/>
      <c r="E91" s="72"/>
      <c r="F91" s="25" t="str">
        <f t="shared" si="8"/>
        <v/>
      </c>
      <c r="G91" s="21" t="str">
        <f t="shared" si="9"/>
        <v/>
      </c>
      <c r="H91" s="25" t="str">
        <f t="shared" si="10"/>
        <v/>
      </c>
      <c r="I91" s="68" t="str">
        <f>IF(B91="","",IF(B91*2='Setup &amp; Summary'!$N$21,-H91,IF(A!B91*2&lt;'Setup &amp; Summary'!$N$21,A!I92+A!$N$5,A!I90-A!$N$5)))</f>
        <v/>
      </c>
      <c r="J91" s="22" t="str">
        <f t="shared" si="6"/>
        <v/>
      </c>
      <c r="K91" s="23" t="str">
        <f t="shared" si="7"/>
        <v/>
      </c>
      <c r="M91" s="60" t="str">
        <f>IF(B91="","",IF(B91*2='Setup &amp; Summary'!$N$21,"midstation row!",""))</f>
        <v/>
      </c>
    </row>
    <row r="92" spans="1:13" x14ac:dyDescent="0.2">
      <c r="A92" s="69">
        <f t="shared" si="11"/>
        <v>83</v>
      </c>
      <c r="B92" s="57" t="str">
        <f>IF('Setup &amp; Summary'!$N$21&gt;A92,A!B91+1,"")</f>
        <v/>
      </c>
      <c r="C92" s="71"/>
      <c r="D92" s="72"/>
      <c r="E92" s="72"/>
      <c r="F92" s="25" t="str">
        <f t="shared" si="8"/>
        <v/>
      </c>
      <c r="G92" s="21" t="str">
        <f t="shared" si="9"/>
        <v/>
      </c>
      <c r="H92" s="25" t="str">
        <f t="shared" si="10"/>
        <v/>
      </c>
      <c r="I92" s="68" t="str">
        <f>IF(B92="","",IF(B92*2='Setup &amp; Summary'!$N$21,-H92,IF(A!B92*2&lt;'Setup &amp; Summary'!$N$21,A!I93+A!$N$5,A!I91-A!$N$5)))</f>
        <v/>
      </c>
      <c r="J92" s="22" t="str">
        <f t="shared" si="6"/>
        <v/>
      </c>
      <c r="K92" s="23" t="str">
        <f t="shared" si="7"/>
        <v/>
      </c>
      <c r="M92" s="60" t="str">
        <f>IF(B92="","",IF(B92*2='Setup &amp; Summary'!$N$21,"midstation row!",""))</f>
        <v/>
      </c>
    </row>
    <row r="93" spans="1:13" x14ac:dyDescent="0.2">
      <c r="A93" s="69">
        <f t="shared" si="11"/>
        <v>84</v>
      </c>
      <c r="B93" s="57" t="str">
        <f>IF('Setup &amp; Summary'!$N$21&gt;A93,A!B92+1,"")</f>
        <v/>
      </c>
      <c r="C93" s="71"/>
      <c r="D93" s="72"/>
      <c r="E93" s="72"/>
      <c r="F93" s="25" t="str">
        <f t="shared" si="8"/>
        <v/>
      </c>
      <c r="G93" s="21" t="str">
        <f t="shared" si="9"/>
        <v/>
      </c>
      <c r="H93" s="25" t="str">
        <f t="shared" si="10"/>
        <v/>
      </c>
      <c r="I93" s="68" t="str">
        <f>IF(B93="","",IF(B93*2='Setup &amp; Summary'!$N$21,-H93,IF(A!B93*2&lt;'Setup &amp; Summary'!$N$21,A!I94+A!$N$5,A!I92-A!$N$5)))</f>
        <v/>
      </c>
      <c r="J93" s="22" t="str">
        <f t="shared" si="6"/>
        <v/>
      </c>
      <c r="K93" s="23" t="str">
        <f t="shared" si="7"/>
        <v/>
      </c>
      <c r="M93" s="60" t="str">
        <f>IF(B93="","",IF(B93*2='Setup &amp; Summary'!$N$21,"midstation row!",""))</f>
        <v/>
      </c>
    </row>
    <row r="94" spans="1:13" x14ac:dyDescent="0.2">
      <c r="A94" s="69">
        <f t="shared" si="11"/>
        <v>85</v>
      </c>
      <c r="B94" s="57" t="str">
        <f>IF('Setup &amp; Summary'!$N$21&gt;A94,A!B93+1,"")</f>
        <v/>
      </c>
      <c r="C94" s="71"/>
      <c r="D94" s="72"/>
      <c r="E94" s="72"/>
      <c r="F94" s="25" t="str">
        <f t="shared" si="8"/>
        <v/>
      </c>
      <c r="G94" s="21" t="str">
        <f t="shared" si="9"/>
        <v/>
      </c>
      <c r="H94" s="25" t="str">
        <f t="shared" si="10"/>
        <v/>
      </c>
      <c r="I94" s="68" t="str">
        <f>IF(B94="","",IF(B94*2='Setup &amp; Summary'!$N$21,-H94,IF(A!B94*2&lt;'Setup &amp; Summary'!$N$21,A!I95+A!$N$5,A!I93-A!$N$5)))</f>
        <v/>
      </c>
      <c r="J94" s="22" t="str">
        <f t="shared" si="6"/>
        <v/>
      </c>
      <c r="K94" s="23" t="str">
        <f t="shared" si="7"/>
        <v/>
      </c>
      <c r="M94" s="60" t="str">
        <f>IF(B94="","",IF(B94*2='Setup &amp; Summary'!$N$21,"midstation row!",""))</f>
        <v/>
      </c>
    </row>
    <row r="95" spans="1:13" x14ac:dyDescent="0.2">
      <c r="A95" s="69">
        <f t="shared" si="11"/>
        <v>86</v>
      </c>
      <c r="B95" s="57" t="str">
        <f>IF('Setup &amp; Summary'!$N$21&gt;A95,A!B94+1,"")</f>
        <v/>
      </c>
      <c r="C95" s="71"/>
      <c r="D95" s="72"/>
      <c r="E95" s="72"/>
      <c r="F95" s="25" t="str">
        <f t="shared" si="8"/>
        <v/>
      </c>
      <c r="G95" s="21" t="str">
        <f t="shared" si="9"/>
        <v/>
      </c>
      <c r="H95" s="25" t="str">
        <f t="shared" si="10"/>
        <v/>
      </c>
      <c r="I95" s="68" t="str">
        <f>IF(B95="","",IF(B95*2='Setup &amp; Summary'!$N$21,-H95,IF(A!B95*2&lt;'Setup &amp; Summary'!$N$21,A!I96+A!$N$5,A!I94-A!$N$5)))</f>
        <v/>
      </c>
      <c r="J95" s="22" t="str">
        <f t="shared" si="6"/>
        <v/>
      </c>
      <c r="K95" s="23" t="str">
        <f t="shared" si="7"/>
        <v/>
      </c>
      <c r="M95" s="60" t="str">
        <f>IF(B95="","",IF(B95*2='Setup &amp; Summary'!$N$21,"midstation row!",""))</f>
        <v/>
      </c>
    </row>
    <row r="96" spans="1:13" x14ac:dyDescent="0.2">
      <c r="A96" s="69">
        <f t="shared" si="11"/>
        <v>87</v>
      </c>
      <c r="B96" s="57" t="str">
        <f>IF('Setup &amp; Summary'!$N$21&gt;A96,A!B95+1,"")</f>
        <v/>
      </c>
      <c r="C96" s="71"/>
      <c r="D96" s="72"/>
      <c r="E96" s="72"/>
      <c r="F96" s="25" t="str">
        <f t="shared" si="8"/>
        <v/>
      </c>
      <c r="G96" s="21" t="str">
        <f t="shared" si="9"/>
        <v/>
      </c>
      <c r="H96" s="25" t="str">
        <f t="shared" si="10"/>
        <v/>
      </c>
      <c r="I96" s="68" t="str">
        <f>IF(B96="","",IF(B96*2='Setup &amp; Summary'!$N$21,-H96,IF(A!B96*2&lt;'Setup &amp; Summary'!$N$21,A!I97+A!$N$5,A!I95-A!$N$5)))</f>
        <v/>
      </c>
      <c r="J96" s="22" t="str">
        <f t="shared" si="6"/>
        <v/>
      </c>
      <c r="K96" s="23" t="str">
        <f t="shared" si="7"/>
        <v/>
      </c>
      <c r="M96" s="60" t="str">
        <f>IF(B96="","",IF(B96*2='Setup &amp; Summary'!$N$21,"midstation row!",""))</f>
        <v/>
      </c>
    </row>
    <row r="97" spans="1:13" x14ac:dyDescent="0.2">
      <c r="A97" s="69">
        <f t="shared" si="11"/>
        <v>88</v>
      </c>
      <c r="B97" s="57" t="str">
        <f>IF('Setup &amp; Summary'!$N$21&gt;A97,A!B96+1,"")</f>
        <v/>
      </c>
      <c r="C97" s="71"/>
      <c r="D97" s="72"/>
      <c r="E97" s="72"/>
      <c r="F97" s="25" t="str">
        <f t="shared" si="8"/>
        <v/>
      </c>
      <c r="G97" s="21" t="str">
        <f t="shared" si="9"/>
        <v/>
      </c>
      <c r="H97" s="25" t="str">
        <f t="shared" si="10"/>
        <v/>
      </c>
      <c r="I97" s="68" t="str">
        <f>IF(B97="","",IF(B97*2='Setup &amp; Summary'!$N$21,-H97,IF(A!B97*2&lt;'Setup &amp; Summary'!$N$21,A!I98+A!$N$5,A!I96-A!$N$5)))</f>
        <v/>
      </c>
      <c r="J97" s="22" t="str">
        <f t="shared" si="6"/>
        <v/>
      </c>
      <c r="K97" s="23" t="str">
        <f t="shared" si="7"/>
        <v/>
      </c>
      <c r="M97" s="60" t="str">
        <f>IF(B97="","",IF(B97*2='Setup &amp; Summary'!$N$21,"midstation row!",""))</f>
        <v/>
      </c>
    </row>
    <row r="98" spans="1:13" x14ac:dyDescent="0.2">
      <c r="A98" s="69">
        <f t="shared" si="11"/>
        <v>89</v>
      </c>
      <c r="B98" s="57" t="str">
        <f>IF('Setup &amp; Summary'!$N$21&gt;A98,A!B97+1,"")</f>
        <v/>
      </c>
      <c r="C98" s="71"/>
      <c r="D98" s="72"/>
      <c r="E98" s="72"/>
      <c r="F98" s="25" t="str">
        <f t="shared" si="8"/>
        <v/>
      </c>
      <c r="G98" s="21" t="str">
        <f t="shared" si="9"/>
        <v/>
      </c>
      <c r="H98" s="25" t="str">
        <f t="shared" si="10"/>
        <v/>
      </c>
      <c r="I98" s="68" t="str">
        <f>IF(B98="","",IF(B98*2='Setup &amp; Summary'!$N$21,-H98,IF(A!B98*2&lt;'Setup &amp; Summary'!$N$21,A!I99+A!$N$5,A!I97-A!$N$5)))</f>
        <v/>
      </c>
      <c r="J98" s="22" t="str">
        <f t="shared" si="6"/>
        <v/>
      </c>
      <c r="K98" s="23" t="str">
        <f t="shared" si="7"/>
        <v/>
      </c>
      <c r="M98" s="60" t="str">
        <f>IF(B98="","",IF(B98*2='Setup &amp; Summary'!$N$21,"midstation row!",""))</f>
        <v/>
      </c>
    </row>
    <row r="99" spans="1:13" x14ac:dyDescent="0.2">
      <c r="A99" s="69">
        <f t="shared" si="11"/>
        <v>90</v>
      </c>
      <c r="B99" s="57" t="str">
        <f>IF('Setup &amp; Summary'!$N$21&gt;A99,A!B98+1,"")</f>
        <v/>
      </c>
      <c r="C99" s="71"/>
      <c r="D99" s="72"/>
      <c r="E99" s="72"/>
      <c r="F99" s="25" t="str">
        <f t="shared" si="8"/>
        <v/>
      </c>
      <c r="G99" s="21" t="str">
        <f t="shared" si="9"/>
        <v/>
      </c>
      <c r="H99" s="25" t="str">
        <f t="shared" si="10"/>
        <v/>
      </c>
      <c r="I99" s="68" t="str">
        <f>IF(B99="","",IF(B99*2='Setup &amp; Summary'!$N$21,-H99,IF(A!B99*2&lt;'Setup &amp; Summary'!$N$21,A!I100+A!$N$5,A!I98-A!$N$5)))</f>
        <v/>
      </c>
      <c r="J99" s="22" t="str">
        <f t="shared" si="6"/>
        <v/>
      </c>
      <c r="K99" s="23" t="str">
        <f t="shared" si="7"/>
        <v/>
      </c>
      <c r="M99" s="60" t="str">
        <f>IF(B99="","",IF(B99*2='Setup &amp; Summary'!$N$21,"midstation row!",""))</f>
        <v/>
      </c>
    </row>
    <row r="100" spans="1:13" x14ac:dyDescent="0.2">
      <c r="A100" s="69">
        <f t="shared" si="11"/>
        <v>91</v>
      </c>
      <c r="B100" s="57" t="str">
        <f>IF('Setup &amp; Summary'!$N$21&gt;A100,A!B99+1,"")</f>
        <v/>
      </c>
      <c r="C100" s="71"/>
      <c r="D100" s="72"/>
      <c r="E100" s="72"/>
      <c r="F100" s="25" t="str">
        <f t="shared" si="8"/>
        <v/>
      </c>
      <c r="G100" s="21" t="str">
        <f t="shared" si="9"/>
        <v/>
      </c>
      <c r="H100" s="25" t="str">
        <f t="shared" si="10"/>
        <v/>
      </c>
      <c r="I100" s="68" t="str">
        <f>IF(B100="","",IF(B100*2='Setup &amp; Summary'!$N$21,-H100,IF(A!B100*2&lt;'Setup &amp; Summary'!$N$21,A!I101+A!$N$5,A!I99-A!$N$5)))</f>
        <v/>
      </c>
      <c r="J100" s="22" t="str">
        <f t="shared" si="6"/>
        <v/>
      </c>
      <c r="K100" s="23" t="str">
        <f t="shared" si="7"/>
        <v/>
      </c>
      <c r="M100" s="60" t="str">
        <f>IF(B100="","",IF(B100*2='Setup &amp; Summary'!$N$21,"midstation row!",""))</f>
        <v/>
      </c>
    </row>
    <row r="101" spans="1:13" x14ac:dyDescent="0.2">
      <c r="A101" s="69">
        <f t="shared" si="11"/>
        <v>92</v>
      </c>
      <c r="B101" s="57" t="str">
        <f>IF('Setup &amp; Summary'!$N$21&gt;A101,A!B100+1,"")</f>
        <v/>
      </c>
      <c r="C101" s="71"/>
      <c r="D101" s="72"/>
      <c r="E101" s="72"/>
      <c r="F101" s="25" t="str">
        <f t="shared" si="8"/>
        <v/>
      </c>
      <c r="G101" s="21" t="str">
        <f t="shared" si="9"/>
        <v/>
      </c>
      <c r="H101" s="25" t="str">
        <f t="shared" si="10"/>
        <v/>
      </c>
      <c r="I101" s="68" t="str">
        <f>IF(B101="","",IF(B101*2='Setup &amp; Summary'!$N$21,-H101,IF(A!B101*2&lt;'Setup &amp; Summary'!$N$21,A!I102+A!$N$5,A!I100-A!$N$5)))</f>
        <v/>
      </c>
      <c r="J101" s="22" t="str">
        <f t="shared" si="6"/>
        <v/>
      </c>
      <c r="K101" s="23" t="str">
        <f t="shared" si="7"/>
        <v/>
      </c>
      <c r="M101" s="60" t="str">
        <f>IF(B101="","",IF(B101*2='Setup &amp; Summary'!$N$21,"midstation row!",""))</f>
        <v/>
      </c>
    </row>
    <row r="102" spans="1:13" x14ac:dyDescent="0.2">
      <c r="A102" s="69">
        <f t="shared" si="11"/>
        <v>93</v>
      </c>
      <c r="B102" s="57" t="str">
        <f>IF('Setup &amp; Summary'!$N$21&gt;A102,A!B101+1,"")</f>
        <v/>
      </c>
      <c r="C102" s="71"/>
      <c r="D102" s="72"/>
      <c r="E102" s="72"/>
      <c r="F102" s="25" t="str">
        <f t="shared" si="8"/>
        <v/>
      </c>
      <c r="G102" s="21" t="str">
        <f t="shared" si="9"/>
        <v/>
      </c>
      <c r="H102" s="25" t="str">
        <f t="shared" si="10"/>
        <v/>
      </c>
      <c r="I102" s="68" t="str">
        <f>IF(B102="","",IF(B102*2='Setup &amp; Summary'!$N$21,-H102,IF(A!B102*2&lt;'Setup &amp; Summary'!$N$21,A!I103+A!$N$5,A!I101-A!$N$5)))</f>
        <v/>
      </c>
      <c r="J102" s="22" t="str">
        <f t="shared" si="6"/>
        <v/>
      </c>
      <c r="K102" s="23" t="str">
        <f t="shared" si="7"/>
        <v/>
      </c>
      <c r="M102" s="60" t="str">
        <f>IF(B102="","",IF(B102*2='Setup &amp; Summary'!$N$21,"midstation row!",""))</f>
        <v/>
      </c>
    </row>
    <row r="103" spans="1:13" x14ac:dyDescent="0.2">
      <c r="A103" s="69">
        <f t="shared" si="11"/>
        <v>94</v>
      </c>
      <c r="B103" s="57" t="str">
        <f>IF('Setup &amp; Summary'!$N$21&gt;A103,A!B102+1,"")</f>
        <v/>
      </c>
      <c r="C103" s="71"/>
      <c r="D103" s="72"/>
      <c r="E103" s="72"/>
      <c r="F103" s="25" t="str">
        <f t="shared" si="8"/>
        <v/>
      </c>
      <c r="G103" s="21" t="str">
        <f t="shared" si="9"/>
        <v/>
      </c>
      <c r="H103" s="25" t="str">
        <f t="shared" si="10"/>
        <v/>
      </c>
      <c r="I103" s="68" t="str">
        <f>IF(B103="","",IF(B103*2='Setup &amp; Summary'!$N$21,-H103,IF(A!B103*2&lt;'Setup &amp; Summary'!$N$21,A!I104+A!$N$5,A!I102-A!$N$5)))</f>
        <v/>
      </c>
      <c r="J103" s="22" t="str">
        <f t="shared" si="6"/>
        <v/>
      </c>
      <c r="K103" s="23" t="str">
        <f t="shared" si="7"/>
        <v/>
      </c>
      <c r="M103" s="60" t="str">
        <f>IF(B103="","",IF(B103*2='Setup &amp; Summary'!$N$21,"midstation row!",""))</f>
        <v/>
      </c>
    </row>
    <row r="104" spans="1:13" x14ac:dyDescent="0.2">
      <c r="A104" s="69">
        <f t="shared" si="11"/>
        <v>95</v>
      </c>
      <c r="B104" s="57" t="str">
        <f>IF('Setup &amp; Summary'!$N$21&gt;A104,A!B103+1,"")</f>
        <v/>
      </c>
      <c r="C104" s="71"/>
      <c r="D104" s="72"/>
      <c r="E104" s="72"/>
      <c r="F104" s="25" t="str">
        <f t="shared" si="8"/>
        <v/>
      </c>
      <c r="G104" s="21" t="str">
        <f t="shared" si="9"/>
        <v/>
      </c>
      <c r="H104" s="25" t="str">
        <f t="shared" si="10"/>
        <v/>
      </c>
      <c r="I104" s="68" t="str">
        <f>IF(B104="","",IF(B104*2='Setup &amp; Summary'!$N$21,-H104,IF(A!B104*2&lt;'Setup &amp; Summary'!$N$21,A!I105+A!$N$5,A!I103-A!$N$5)))</f>
        <v/>
      </c>
      <c r="J104" s="22" t="str">
        <f t="shared" si="6"/>
        <v/>
      </c>
      <c r="K104" s="23" t="str">
        <f t="shared" si="7"/>
        <v/>
      </c>
      <c r="M104" s="60" t="str">
        <f>IF(B104="","",IF(B104*2='Setup &amp; Summary'!$N$21,"midstation row!",""))</f>
        <v/>
      </c>
    </row>
    <row r="105" spans="1:13" x14ac:dyDescent="0.2">
      <c r="A105" s="69">
        <f t="shared" si="11"/>
        <v>96</v>
      </c>
      <c r="B105" s="57" t="str">
        <f>IF('Setup &amp; Summary'!$N$21&gt;A105,A!B104+1,"")</f>
        <v/>
      </c>
      <c r="C105" s="71"/>
      <c r="D105" s="72"/>
      <c r="E105" s="72"/>
      <c r="F105" s="25" t="str">
        <f t="shared" si="8"/>
        <v/>
      </c>
      <c r="G105" s="21" t="str">
        <f t="shared" si="9"/>
        <v/>
      </c>
      <c r="H105" s="25" t="str">
        <f t="shared" si="10"/>
        <v/>
      </c>
      <c r="I105" s="68" t="str">
        <f>IF(B105="","",IF(B105*2='Setup &amp; Summary'!$N$21,-H105,IF(A!B105*2&lt;'Setup &amp; Summary'!$N$21,A!I106+A!$N$5,A!I104-A!$N$5)))</f>
        <v/>
      </c>
      <c r="J105" s="22" t="str">
        <f t="shared" si="6"/>
        <v/>
      </c>
      <c r="K105" s="23" t="str">
        <f t="shared" si="7"/>
        <v/>
      </c>
      <c r="M105" s="60" t="str">
        <f>IF(B105="","",IF(B105*2='Setup &amp; Summary'!$N$21,"midstation row!",""))</f>
        <v/>
      </c>
    </row>
    <row r="106" spans="1:13" x14ac:dyDescent="0.2">
      <c r="A106" s="69">
        <f t="shared" si="11"/>
        <v>97</v>
      </c>
      <c r="B106" s="57" t="str">
        <f>IF('Setup &amp; Summary'!$N$21&gt;A106,A!B105+1,"")</f>
        <v/>
      </c>
      <c r="C106" s="71"/>
      <c r="D106" s="72"/>
      <c r="E106" s="72"/>
      <c r="F106" s="25" t="str">
        <f t="shared" si="8"/>
        <v/>
      </c>
      <c r="G106" s="21" t="str">
        <f t="shared" si="9"/>
        <v/>
      </c>
      <c r="H106" s="25" t="str">
        <f t="shared" si="10"/>
        <v/>
      </c>
      <c r="I106" s="68" t="str">
        <f>IF(B106="","",IF(B106*2='Setup &amp; Summary'!$N$21,-H106,IF(A!B106*2&lt;'Setup &amp; Summary'!$N$21,A!I107+A!$N$5,A!I105-A!$N$5)))</f>
        <v/>
      </c>
      <c r="J106" s="22" t="str">
        <f t="shared" si="6"/>
        <v/>
      </c>
      <c r="K106" s="23" t="str">
        <f t="shared" si="7"/>
        <v/>
      </c>
      <c r="M106" s="60" t="str">
        <f>IF(B106="","",IF(B106*2='Setup &amp; Summary'!$N$21,"midstation row!",""))</f>
        <v/>
      </c>
    </row>
    <row r="107" spans="1:13" x14ac:dyDescent="0.2">
      <c r="A107" s="69">
        <f t="shared" si="11"/>
        <v>98</v>
      </c>
      <c r="B107" s="57" t="str">
        <f>IF('Setup &amp; Summary'!$N$21&gt;A107,A!B106+1,"")</f>
        <v/>
      </c>
      <c r="C107" s="71"/>
      <c r="D107" s="72"/>
      <c r="E107" s="72"/>
      <c r="F107" s="25" t="str">
        <f t="shared" si="8"/>
        <v/>
      </c>
      <c r="G107" s="21" t="str">
        <f t="shared" si="9"/>
        <v/>
      </c>
      <c r="H107" s="25" t="str">
        <f t="shared" si="10"/>
        <v/>
      </c>
      <c r="I107" s="68" t="str">
        <f>IF(B107="","",IF(B107*2='Setup &amp; Summary'!$N$21,-H107,IF(A!B107*2&lt;'Setup &amp; Summary'!$N$21,A!I108+A!$N$5,A!I106-A!$N$5)))</f>
        <v/>
      </c>
      <c r="J107" s="22" t="str">
        <f t="shared" si="6"/>
        <v/>
      </c>
      <c r="K107" s="23" t="str">
        <f t="shared" si="7"/>
        <v/>
      </c>
      <c r="M107" s="60" t="str">
        <f>IF(B107="","",IF(B107*2='Setup &amp; Summary'!$N$21,"midstation row!",""))</f>
        <v/>
      </c>
    </row>
    <row r="108" spans="1:13" x14ac:dyDescent="0.2">
      <c r="A108" s="69">
        <f t="shared" si="11"/>
        <v>99</v>
      </c>
      <c r="B108" s="57" t="str">
        <f>IF('Setup &amp; Summary'!$N$21&gt;A108,A!B107+1,"")</f>
        <v/>
      </c>
      <c r="C108" s="71"/>
      <c r="D108" s="72"/>
      <c r="E108" s="72"/>
      <c r="F108" s="25" t="str">
        <f t="shared" si="8"/>
        <v/>
      </c>
      <c r="G108" s="21" t="str">
        <f t="shared" si="9"/>
        <v/>
      </c>
      <c r="H108" s="25" t="str">
        <f t="shared" si="10"/>
        <v/>
      </c>
      <c r="I108" s="68" t="str">
        <f>IF(B108="","",IF(B108*2='Setup &amp; Summary'!$N$21,-H108,IF(A!B108*2&lt;'Setup &amp; Summary'!$N$21,A!I109+A!$N$5,A!I107-A!$N$5)))</f>
        <v/>
      </c>
      <c r="J108" s="22" t="str">
        <f t="shared" si="6"/>
        <v/>
      </c>
      <c r="K108" s="23" t="str">
        <f t="shared" si="7"/>
        <v/>
      </c>
      <c r="M108" s="60" t="str">
        <f>IF(B108="","",IF(B108*2='Setup &amp; Summary'!$N$21,"midstation row!",""))</f>
        <v/>
      </c>
    </row>
  </sheetData>
  <sheetProtection sheet="1" objects="1" scenarios="1" selectLockedCells="1"/>
  <phoneticPr fontId="0" type="noConversion"/>
  <conditionalFormatting sqref="M10:M108">
    <cfRule type="cellIs" dxfId="63" priority="9" operator="equal">
      <formula>""</formula>
    </cfRule>
    <cfRule type="cellIs" dxfId="62" priority="10" operator="equal">
      <formula>"Midstation Row!"</formula>
    </cfRule>
  </conditionalFormatting>
  <conditionalFormatting sqref="L10:M28 L32:M108 M29:M31 J1:K3 B10:B108 F10:I108">
    <cfRule type="cellIs" dxfId="61" priority="8" operator="equal">
      <formula>""</formula>
    </cfRule>
  </conditionalFormatting>
  <conditionalFormatting sqref="J10:K109">
    <cfRule type="cellIs" dxfId="60" priority="7" operator="equal">
      <formula>""</formula>
    </cfRule>
  </conditionalFormatting>
  <conditionalFormatting sqref="C9:E9">
    <cfRule type="expression" dxfId="59" priority="6">
      <formula>$B9=""</formula>
    </cfRule>
  </conditionalFormatting>
  <conditionalFormatting sqref="C10:E108">
    <cfRule type="expression" dxfId="58" priority="3">
      <formula>$B10=""</formula>
    </cfRule>
  </conditionalFormatting>
  <conditionalFormatting sqref="I10">
    <cfRule type="expression" dxfId="57" priority="2">
      <formula>$M10="Midstation Row!"</formula>
    </cfRule>
  </conditionalFormatting>
  <conditionalFormatting sqref="I11:I108">
    <cfRule type="expression" dxfId="56" priority="1">
      <formula>$M11="Midstation Row!"</formula>
    </cfRule>
  </conditionalFormatting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09"/>
  <sheetViews>
    <sheetView zoomScale="70" zoomScaleNormal="70" workbookViewId="0">
      <selection activeCell="C9" sqref="C9"/>
    </sheetView>
  </sheetViews>
  <sheetFormatPr defaultRowHeight="12.75" x14ac:dyDescent="0.2"/>
  <cols>
    <col min="1" max="1" width="3.42578125" style="70" customWidth="1"/>
    <col min="2" max="2" width="9.140625" customWidth="1"/>
    <col min="13" max="13" width="23.42578125" customWidth="1"/>
    <col min="14" max="14" width="7.5703125" customWidth="1"/>
  </cols>
  <sheetData>
    <row r="1" spans="1:18" x14ac:dyDescent="0.2">
      <c r="A1" s="69"/>
      <c r="B1" s="28"/>
      <c r="C1" s="28"/>
      <c r="D1" s="28"/>
      <c r="E1" s="28"/>
      <c r="F1" s="28"/>
      <c r="G1" s="28"/>
      <c r="H1" s="28"/>
      <c r="I1" s="28"/>
      <c r="J1" s="31">
        <f>MIN(K:K)</f>
        <v>-161.00000000000009</v>
      </c>
      <c r="K1" t="s">
        <v>4</v>
      </c>
      <c r="M1" s="28"/>
      <c r="N1" s="28"/>
      <c r="O1" s="28"/>
      <c r="P1" s="28"/>
      <c r="Q1" s="28"/>
      <c r="R1" s="28"/>
    </row>
    <row r="2" spans="1:18" ht="18" x14ac:dyDescent="0.25">
      <c r="A2" s="69"/>
      <c r="B2" s="1" t="str">
        <f>'Setup &amp; Summary'!P10&amp;"""x"&amp;'Setup &amp; Summary'!P11&amp;""" Plate, "&amp;'Setup &amp; Summary'!N16&amp;""" Foot Pad Distance"</f>
        <v>36"x48" Plate, 2" Foot Pad Distance</v>
      </c>
      <c r="G2" s="2" t="s">
        <v>23</v>
      </c>
      <c r="J2" s="31">
        <f>MAX(K:K)</f>
        <v>26.666666666666643</v>
      </c>
      <c r="K2" t="s">
        <v>5</v>
      </c>
      <c r="P2" s="28"/>
      <c r="Q2" s="28"/>
      <c r="R2" s="28"/>
    </row>
    <row r="3" spans="1:18" x14ac:dyDescent="0.2">
      <c r="A3" s="69"/>
      <c r="J3" s="31">
        <f>ABS(J1-J2)</f>
        <v>187.66666666666674</v>
      </c>
      <c r="K3" t="s">
        <v>6</v>
      </c>
      <c r="P3" s="28"/>
      <c r="Q3" s="28"/>
      <c r="R3" s="28"/>
    </row>
    <row r="4" spans="1:18" ht="13.5" thickBot="1" x14ac:dyDescent="0.25">
      <c r="A4" s="69"/>
      <c r="P4" s="28"/>
      <c r="Q4" s="28"/>
      <c r="R4" s="28"/>
    </row>
    <row r="5" spans="1:18" ht="13.5" thickTop="1" x14ac:dyDescent="0.2">
      <c r="A5" s="69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61" t="s">
        <v>0</v>
      </c>
      <c r="L5" s="66"/>
      <c r="M5" s="6" t="s">
        <v>1</v>
      </c>
      <c r="N5" s="7">
        <f>INDEX(H:H,MATCH(MAX(B:B),B:B))/MAX(B:B)</f>
        <v>-4.4666666666666668</v>
      </c>
      <c r="P5" s="28"/>
      <c r="Q5" s="28"/>
      <c r="R5" s="28"/>
    </row>
    <row r="6" spans="1:18" ht="13.5" thickBot="1" x14ac:dyDescent="0.25">
      <c r="A6" s="69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62">
        <v>9</v>
      </c>
      <c r="L6" s="66"/>
      <c r="M6" s="11" t="s">
        <v>2</v>
      </c>
      <c r="N6" s="12">
        <f>'Setup &amp; Summary'!$N$16</f>
        <v>2</v>
      </c>
      <c r="P6" s="30"/>
      <c r="Q6" s="27"/>
      <c r="R6" s="28"/>
    </row>
    <row r="7" spans="1:18" ht="13.5" thickTop="1" x14ac:dyDescent="0.2">
      <c r="A7" s="69"/>
      <c r="B7" s="13"/>
      <c r="C7" s="14"/>
      <c r="D7" s="15"/>
      <c r="E7" s="15"/>
      <c r="F7" s="15"/>
      <c r="G7" s="15"/>
      <c r="H7" s="15"/>
      <c r="I7" s="15"/>
      <c r="J7" s="15"/>
      <c r="K7" s="63"/>
      <c r="L7" s="67"/>
      <c r="M7" s="6" t="s">
        <v>3</v>
      </c>
      <c r="N7" s="16">
        <f>N6*5</f>
        <v>10</v>
      </c>
      <c r="P7" s="29"/>
      <c r="Q7" s="28"/>
      <c r="R7" s="28"/>
    </row>
    <row r="8" spans="1:18" x14ac:dyDescent="0.2">
      <c r="A8" s="69"/>
      <c r="B8" s="57" t="s">
        <v>68</v>
      </c>
      <c r="C8" s="17"/>
      <c r="D8" s="18"/>
      <c r="E8" s="18"/>
      <c r="F8" s="19"/>
      <c r="G8" s="19"/>
      <c r="H8" s="20">
        <v>0</v>
      </c>
      <c r="I8" s="25">
        <f>I9+$N$5</f>
        <v>-16.100000000000009</v>
      </c>
      <c r="J8" s="22">
        <f>IF(B8="","",I8+H8)</f>
        <v>-16.100000000000009</v>
      </c>
      <c r="K8" s="64">
        <f>IF(B8="","",J8*$N$7)</f>
        <v>-161.00000000000009</v>
      </c>
      <c r="L8" s="67"/>
      <c r="N8" s="24"/>
      <c r="P8" s="30"/>
      <c r="Q8" s="26"/>
      <c r="R8" s="28"/>
    </row>
    <row r="9" spans="1:18" x14ac:dyDescent="0.2">
      <c r="A9" s="69"/>
      <c r="B9" s="38">
        <v>1</v>
      </c>
      <c r="C9" s="71">
        <v>5.5</v>
      </c>
      <c r="D9" s="72">
        <v>5.7</v>
      </c>
      <c r="E9" s="72">
        <v>5.3</v>
      </c>
      <c r="F9" s="25">
        <f>AVERAGE(C9:E9)</f>
        <v>5.5</v>
      </c>
      <c r="G9" s="21">
        <f>F9-$F$9</f>
        <v>0</v>
      </c>
      <c r="H9" s="21">
        <f>H8+G9</f>
        <v>0</v>
      </c>
      <c r="I9" s="25">
        <f>I10+$N$5</f>
        <v>-11.633333333333342</v>
      </c>
      <c r="J9" s="22">
        <f t="shared" ref="J9:J72" si="0">IF(B9="","",I9+H9)</f>
        <v>-11.633333333333342</v>
      </c>
      <c r="K9" s="64">
        <f t="shared" ref="K9:K72" si="1">IF(B9="","",J9*$N$7)</f>
        <v>-116.33333333333341</v>
      </c>
      <c r="L9" s="67"/>
      <c r="P9" s="28"/>
      <c r="Q9" s="28"/>
      <c r="R9" s="28"/>
    </row>
    <row r="10" spans="1:18" x14ac:dyDescent="0.2">
      <c r="A10" s="69">
        <v>1</v>
      </c>
      <c r="B10" s="57">
        <f>IF('Setup &amp; Summary'!$N$21&gt;A10,A!B9+1,"")</f>
        <v>2</v>
      </c>
      <c r="C10" s="71">
        <v>5.5</v>
      </c>
      <c r="D10" s="72">
        <v>5.6</v>
      </c>
      <c r="E10" s="72">
        <v>5.3</v>
      </c>
      <c r="F10" s="25">
        <f t="shared" ref="F10:F73" si="2">IF(B10="","",AVERAGE(C10:E10))</f>
        <v>5.4666666666666659</v>
      </c>
      <c r="G10" s="21">
        <f t="shared" ref="G10:G73" si="3">IF(B10="","",F10-$F$9)</f>
        <v>-3.3333333333334103E-2</v>
      </c>
      <c r="H10" s="25">
        <f t="shared" ref="H10:H73" si="4">IF(B10="","",H9+G10)</f>
        <v>-3.3333333333334103E-2</v>
      </c>
      <c r="I10" s="68">
        <f>IF(B10="","",IF(B10*2='Setup &amp; Summary'!$N$21,-H10,IF(B!B10*2&lt;'Setup &amp; Summary'!$N$21,B!I11+B!$N$5,B!I9-B!$N$5)))</f>
        <v>-7.166666666666675</v>
      </c>
      <c r="J10" s="22">
        <f t="shared" si="0"/>
        <v>-7.2000000000000091</v>
      </c>
      <c r="K10" s="23">
        <f t="shared" si="1"/>
        <v>-72.000000000000085</v>
      </c>
      <c r="L10" s="65"/>
      <c r="M10" s="60" t="str">
        <f>IF(B10="","",IF(B10*2='Setup &amp; Summary'!$N$21,"midstation row!",""))</f>
        <v/>
      </c>
      <c r="P10" s="28"/>
      <c r="Q10" s="28"/>
      <c r="R10" s="28"/>
    </row>
    <row r="11" spans="1:18" x14ac:dyDescent="0.2">
      <c r="A11" s="69">
        <f>A10+1</f>
        <v>2</v>
      </c>
      <c r="B11" s="57">
        <f>IF('Setup &amp; Summary'!$N$21&gt;A11,A!B10+1,"")</f>
        <v>3</v>
      </c>
      <c r="C11" s="71">
        <v>4.4000000000000004</v>
      </c>
      <c r="D11" s="72">
        <v>4.3</v>
      </c>
      <c r="E11" s="72">
        <v>4.5</v>
      </c>
      <c r="F11" s="25">
        <f t="shared" si="2"/>
        <v>4.3999999999999995</v>
      </c>
      <c r="G11" s="21">
        <f t="shared" si="3"/>
        <v>-1.1000000000000005</v>
      </c>
      <c r="H11" s="25">
        <f t="shared" si="4"/>
        <v>-1.1333333333333346</v>
      </c>
      <c r="I11" s="68">
        <f>IF(B11="","",IF(B11*2='Setup &amp; Summary'!$N$21,-H11,IF(B!B11*2&lt;'Setup &amp; Summary'!$N$21,B!I12+B!$N$5,B!I10-B!$N$5)))</f>
        <v>-2.7000000000000082</v>
      </c>
      <c r="J11" s="22">
        <f t="shared" si="0"/>
        <v>-3.8333333333333428</v>
      </c>
      <c r="K11" s="23">
        <f t="shared" si="1"/>
        <v>-38.333333333333428</v>
      </c>
      <c r="L11" s="59"/>
      <c r="M11" s="60" t="str">
        <f>IF(B11="","",IF(B11*2='Setup &amp; Summary'!$N$21,"midstation row!",""))</f>
        <v/>
      </c>
      <c r="P11" s="28"/>
      <c r="Q11" s="28"/>
      <c r="R11" s="28"/>
    </row>
    <row r="12" spans="1:18" x14ac:dyDescent="0.2">
      <c r="A12" s="69">
        <f t="shared" ref="A12:A75" si="5">A11+1</f>
        <v>3</v>
      </c>
      <c r="B12" s="57">
        <f>IF('Setup &amp; Summary'!$N$21&gt;A12,A!B11+1,"")</f>
        <v>4</v>
      </c>
      <c r="C12" s="71">
        <v>3.7</v>
      </c>
      <c r="D12" s="72">
        <v>3.8</v>
      </c>
      <c r="E12" s="72">
        <v>3.9</v>
      </c>
      <c r="F12" s="25">
        <f t="shared" si="2"/>
        <v>3.8000000000000003</v>
      </c>
      <c r="G12" s="21">
        <f t="shared" si="3"/>
        <v>-1.6999999999999997</v>
      </c>
      <c r="H12" s="25">
        <f t="shared" si="4"/>
        <v>-2.8333333333333344</v>
      </c>
      <c r="I12" s="68">
        <f>IF(B12="","",IF(B12*2='Setup &amp; Summary'!$N$21,-H12,IF(B!B12*2&lt;'Setup &amp; Summary'!$N$21,B!I13+B!$N$5,B!I11-B!$N$5)))</f>
        <v>1.7666666666666586</v>
      </c>
      <c r="J12" s="22">
        <f t="shared" si="0"/>
        <v>-1.0666666666666758</v>
      </c>
      <c r="K12" s="23">
        <f t="shared" si="1"/>
        <v>-10.666666666666757</v>
      </c>
      <c r="L12" s="59"/>
      <c r="M12" s="60" t="str">
        <f>IF(B12="","",IF(B12*2='Setup &amp; Summary'!$N$21,"midstation row!",""))</f>
        <v/>
      </c>
      <c r="P12" s="28"/>
      <c r="Q12" s="28"/>
      <c r="R12" s="28"/>
    </row>
    <row r="13" spans="1:18" x14ac:dyDescent="0.2">
      <c r="A13" s="69">
        <f t="shared" si="5"/>
        <v>4</v>
      </c>
      <c r="B13" s="57">
        <f>IF('Setup &amp; Summary'!$N$21&gt;A13,A!B12+1,"")</f>
        <v>5</v>
      </c>
      <c r="C13" s="71">
        <v>2.4</v>
      </c>
      <c r="D13" s="72">
        <v>2.6</v>
      </c>
      <c r="E13" s="72">
        <v>2.5</v>
      </c>
      <c r="F13" s="25">
        <f t="shared" si="2"/>
        <v>2.5</v>
      </c>
      <c r="G13" s="21">
        <f t="shared" si="3"/>
        <v>-3</v>
      </c>
      <c r="H13" s="25">
        <f t="shared" si="4"/>
        <v>-5.8333333333333339</v>
      </c>
      <c r="I13" s="68">
        <f>IF(B13="","",IF(B13*2='Setup &amp; Summary'!$N$21,-H13,IF(B!B13*2&lt;'Setup &amp; Summary'!$N$21,B!I14+B!$N$5,B!I12-B!$N$5)))</f>
        <v>6.2333333333333254</v>
      </c>
      <c r="J13" s="22">
        <f t="shared" si="0"/>
        <v>0.39999999999999147</v>
      </c>
      <c r="K13" s="23">
        <f t="shared" si="1"/>
        <v>3.9999999999999147</v>
      </c>
      <c r="L13" s="59"/>
      <c r="M13" s="60" t="str">
        <f>IF(B13="","",IF(B13*2='Setup &amp; Summary'!$N$21,"midstation row!",""))</f>
        <v/>
      </c>
      <c r="P13" s="28"/>
      <c r="Q13" s="28"/>
      <c r="R13" s="28"/>
    </row>
    <row r="14" spans="1:18" x14ac:dyDescent="0.2">
      <c r="A14" s="69">
        <f t="shared" si="5"/>
        <v>5</v>
      </c>
      <c r="B14" s="57">
        <f>IF('Setup &amp; Summary'!$N$21&gt;A14,A!B13+1,"")</f>
        <v>6</v>
      </c>
      <c r="C14" s="71">
        <v>2.2999999999999998</v>
      </c>
      <c r="D14" s="72">
        <v>2.1</v>
      </c>
      <c r="E14" s="72">
        <v>2.2000000000000002</v>
      </c>
      <c r="F14" s="25">
        <f t="shared" si="2"/>
        <v>2.2000000000000002</v>
      </c>
      <c r="G14" s="21">
        <f t="shared" si="3"/>
        <v>-3.3</v>
      </c>
      <c r="H14" s="25">
        <f t="shared" si="4"/>
        <v>-9.1333333333333329</v>
      </c>
      <c r="I14" s="68">
        <f>IF(B14="","",IF(B14*2='Setup &amp; Summary'!$N$21,-H14,IF(B!B14*2&lt;'Setup &amp; Summary'!$N$21,B!I15+B!$N$5,B!I13-B!$N$5)))</f>
        <v>10.699999999999992</v>
      </c>
      <c r="J14" s="22">
        <f t="shared" si="0"/>
        <v>1.5666666666666593</v>
      </c>
      <c r="K14" s="23">
        <f t="shared" si="1"/>
        <v>15.666666666666593</v>
      </c>
      <c r="L14" s="59"/>
      <c r="M14" s="60" t="str">
        <f>IF(B14="","",IF(B14*2='Setup &amp; Summary'!$N$21,"midstation row!",""))</f>
        <v/>
      </c>
      <c r="P14" s="28"/>
      <c r="Q14" s="28"/>
      <c r="R14" s="28"/>
    </row>
    <row r="15" spans="1:18" x14ac:dyDescent="0.2">
      <c r="A15" s="69">
        <f t="shared" si="5"/>
        <v>6</v>
      </c>
      <c r="B15" s="57">
        <f>IF('Setup &amp; Summary'!$N$21&gt;A15,A!B14+1,"")</f>
        <v>7</v>
      </c>
      <c r="C15" s="71">
        <v>1.4</v>
      </c>
      <c r="D15" s="72">
        <v>1.2</v>
      </c>
      <c r="E15" s="72">
        <v>1.5</v>
      </c>
      <c r="F15" s="25">
        <f t="shared" si="2"/>
        <v>1.3666666666666665</v>
      </c>
      <c r="G15" s="21">
        <f t="shared" si="3"/>
        <v>-4.1333333333333337</v>
      </c>
      <c r="H15" s="25">
        <f t="shared" si="4"/>
        <v>-13.266666666666666</v>
      </c>
      <c r="I15" s="68">
        <f>IF(B15="","",IF(B15*2='Setup &amp; Summary'!$N$21,-H15,IF(B!B15*2&lt;'Setup &amp; Summary'!$N$21,B!I16+B!$N$5,B!I14-B!$N$5)))</f>
        <v>15.166666666666659</v>
      </c>
      <c r="J15" s="22">
        <f t="shared" si="0"/>
        <v>1.8999999999999932</v>
      </c>
      <c r="K15" s="23">
        <f t="shared" si="1"/>
        <v>18.999999999999932</v>
      </c>
      <c r="L15" s="59"/>
      <c r="M15" s="60" t="str">
        <f>IF(B15="","",IF(B15*2='Setup &amp; Summary'!$N$21,"midstation row!",""))</f>
        <v/>
      </c>
      <c r="P15" s="28"/>
      <c r="Q15" s="28"/>
      <c r="R15" s="28"/>
    </row>
    <row r="16" spans="1:18" x14ac:dyDescent="0.2">
      <c r="A16" s="69">
        <f t="shared" si="5"/>
        <v>7</v>
      </c>
      <c r="B16" s="57">
        <f>IF('Setup &amp; Summary'!$N$21&gt;A16,A!B15+1,"")</f>
        <v>8</v>
      </c>
      <c r="C16" s="71">
        <v>1</v>
      </c>
      <c r="D16" s="72">
        <v>1.1000000000000001</v>
      </c>
      <c r="E16" s="72">
        <v>1</v>
      </c>
      <c r="F16" s="25">
        <f t="shared" si="2"/>
        <v>1.0333333333333334</v>
      </c>
      <c r="G16" s="21">
        <f t="shared" si="3"/>
        <v>-4.4666666666666668</v>
      </c>
      <c r="H16" s="25">
        <f t="shared" si="4"/>
        <v>-17.733333333333334</v>
      </c>
      <c r="I16" s="68">
        <f>IF(B16="","",IF(B16*2='Setup &amp; Summary'!$N$21,-H16,IF(B!B16*2&lt;'Setup &amp; Summary'!$N$21,B!I17+B!$N$5,B!I15-B!$N$5)))</f>
        <v>19.633333333333326</v>
      </c>
      <c r="J16" s="22">
        <f t="shared" si="0"/>
        <v>1.8999999999999915</v>
      </c>
      <c r="K16" s="23">
        <f t="shared" si="1"/>
        <v>18.999999999999915</v>
      </c>
      <c r="L16" s="59"/>
      <c r="M16" s="60" t="str">
        <f>IF(B16="","",IF(B16*2='Setup &amp; Summary'!$N$21,"midstation row!",""))</f>
        <v/>
      </c>
      <c r="P16" s="28"/>
      <c r="Q16" s="28"/>
      <c r="R16" s="28"/>
    </row>
    <row r="17" spans="1:18" x14ac:dyDescent="0.2">
      <c r="A17" s="69">
        <f t="shared" si="5"/>
        <v>8</v>
      </c>
      <c r="B17" s="57">
        <f>IF('Setup &amp; Summary'!$N$21&gt;A17,A!B16+1,"")</f>
        <v>9</v>
      </c>
      <c r="C17" s="71">
        <v>1.1000000000000001</v>
      </c>
      <c r="D17" s="72">
        <v>1.2</v>
      </c>
      <c r="E17" s="72">
        <v>1.1000000000000001</v>
      </c>
      <c r="F17" s="25">
        <f t="shared" si="2"/>
        <v>1.1333333333333333</v>
      </c>
      <c r="G17" s="21">
        <f t="shared" si="3"/>
        <v>-4.3666666666666671</v>
      </c>
      <c r="H17" s="25">
        <f t="shared" si="4"/>
        <v>-22.1</v>
      </c>
      <c r="I17" s="68">
        <f>IF(B17="","",IF(B17*2='Setup &amp; Summary'!$N$21,-H17,IF(B!B17*2&lt;'Setup &amp; Summary'!$N$21,B!I18+B!$N$5,B!I16-B!$N$5)))</f>
        <v>24.099999999999994</v>
      </c>
      <c r="J17" s="22">
        <f t="shared" si="0"/>
        <v>1.9999999999999929</v>
      </c>
      <c r="K17" s="23">
        <f t="shared" si="1"/>
        <v>19.999999999999929</v>
      </c>
      <c r="L17" s="59"/>
      <c r="M17" s="60" t="str">
        <f>IF(B17="","",IF(B17*2='Setup &amp; Summary'!$N$21,"midstation row!",""))</f>
        <v/>
      </c>
      <c r="N17" s="58"/>
      <c r="P17" s="28"/>
      <c r="Q17" s="28"/>
      <c r="R17" s="28"/>
    </row>
    <row r="18" spans="1:18" x14ac:dyDescent="0.2">
      <c r="A18" s="69">
        <f t="shared" si="5"/>
        <v>9</v>
      </c>
      <c r="B18" s="57">
        <f>IF('Setup &amp; Summary'!$N$21&gt;A18,A!B17+1,"")</f>
        <v>10</v>
      </c>
      <c r="C18" s="71">
        <v>0.8</v>
      </c>
      <c r="D18" s="72">
        <v>1</v>
      </c>
      <c r="E18" s="72">
        <v>0.7</v>
      </c>
      <c r="F18" s="25">
        <f t="shared" si="2"/>
        <v>0.83333333333333337</v>
      </c>
      <c r="G18" s="21">
        <f t="shared" si="3"/>
        <v>-4.666666666666667</v>
      </c>
      <c r="H18" s="25">
        <f t="shared" si="4"/>
        <v>-26.766666666666669</v>
      </c>
      <c r="I18" s="68">
        <f>IF(B18="","",IF(B18*2='Setup &amp; Summary'!$N$21,-H18,IF(B!B18*2&lt;'Setup &amp; Summary'!$N$21,B!I19+B!$N$5,B!I17-B!$N$5)))</f>
        <v>28.566666666666663</v>
      </c>
      <c r="J18" s="22">
        <f t="shared" si="0"/>
        <v>1.7999999999999936</v>
      </c>
      <c r="K18" s="23">
        <f t="shared" si="1"/>
        <v>17.999999999999936</v>
      </c>
      <c r="L18" s="59"/>
      <c r="M18" s="60" t="str">
        <f>IF(B18="","",IF(B18*2='Setup &amp; Summary'!$N$21,"midstation row!",""))</f>
        <v/>
      </c>
      <c r="P18" s="28"/>
      <c r="Q18" s="28"/>
      <c r="R18" s="28"/>
    </row>
    <row r="19" spans="1:18" x14ac:dyDescent="0.2">
      <c r="A19" s="69">
        <f t="shared" si="5"/>
        <v>10</v>
      </c>
      <c r="B19" s="57">
        <f>IF('Setup &amp; Summary'!$N$21&gt;A19,A!B18+1,"")</f>
        <v>11</v>
      </c>
      <c r="C19" s="71">
        <v>2</v>
      </c>
      <c r="D19" s="72">
        <v>1.9</v>
      </c>
      <c r="E19" s="72">
        <v>1.8</v>
      </c>
      <c r="F19" s="25">
        <f t="shared" si="2"/>
        <v>1.9000000000000001</v>
      </c>
      <c r="G19" s="21">
        <f t="shared" si="3"/>
        <v>-3.5999999999999996</v>
      </c>
      <c r="H19" s="25">
        <f t="shared" si="4"/>
        <v>-30.366666666666667</v>
      </c>
      <c r="I19" s="68">
        <f>IF(B19="","",IF(B19*2='Setup &amp; Summary'!$N$21,-H19,IF(B!B19*2&lt;'Setup &amp; Summary'!$N$21,B!I20+B!$N$5,B!I18-B!$N$5)))</f>
        <v>33.033333333333331</v>
      </c>
      <c r="J19" s="22">
        <f t="shared" si="0"/>
        <v>2.6666666666666643</v>
      </c>
      <c r="K19" s="23">
        <f t="shared" si="1"/>
        <v>26.666666666666643</v>
      </c>
      <c r="L19" s="59"/>
      <c r="M19" s="60" t="str">
        <f>IF(B19="","",IF(B19*2='Setup &amp; Summary'!$N$21,"midstation row!",""))</f>
        <v/>
      </c>
      <c r="P19" s="28"/>
      <c r="Q19" s="28"/>
      <c r="R19" s="28"/>
    </row>
    <row r="20" spans="1:18" x14ac:dyDescent="0.2">
      <c r="A20" s="69">
        <f t="shared" si="5"/>
        <v>11</v>
      </c>
      <c r="B20" s="57">
        <f>IF('Setup &amp; Summary'!$N$21&gt;A20,A!B19+1,"")</f>
        <v>12</v>
      </c>
      <c r="C20" s="71">
        <v>0.5</v>
      </c>
      <c r="D20" s="72">
        <v>0.8</v>
      </c>
      <c r="E20" s="72">
        <v>1</v>
      </c>
      <c r="F20" s="25">
        <f t="shared" si="2"/>
        <v>0.76666666666666661</v>
      </c>
      <c r="G20" s="21">
        <f t="shared" si="3"/>
        <v>-4.7333333333333334</v>
      </c>
      <c r="H20" s="25">
        <f t="shared" si="4"/>
        <v>-35.1</v>
      </c>
      <c r="I20" s="68">
        <f>IF(B20="","",IF(B20*2='Setup &amp; Summary'!$N$21,-H20,IF(B!B20*2&lt;'Setup &amp; Summary'!$N$21,B!I21+B!$N$5,B!I19-B!$N$5)))</f>
        <v>37.5</v>
      </c>
      <c r="J20" s="22">
        <f t="shared" si="0"/>
        <v>2.3999999999999986</v>
      </c>
      <c r="K20" s="23">
        <f t="shared" si="1"/>
        <v>23.999999999999986</v>
      </c>
      <c r="L20" s="59"/>
      <c r="M20" s="60" t="str">
        <f>IF(B20="","",IF(B20*2='Setup &amp; Summary'!$N$21,"midstation row!",""))</f>
        <v/>
      </c>
      <c r="P20" s="28"/>
      <c r="Q20" s="28"/>
      <c r="R20" s="28"/>
    </row>
    <row r="21" spans="1:18" x14ac:dyDescent="0.2">
      <c r="A21" s="69">
        <f t="shared" si="5"/>
        <v>12</v>
      </c>
      <c r="B21" s="57">
        <f>IF('Setup &amp; Summary'!$N$21&gt;A21,A!B20+1,"")</f>
        <v>13</v>
      </c>
      <c r="C21" s="71">
        <v>-0.9</v>
      </c>
      <c r="D21" s="72">
        <v>-1</v>
      </c>
      <c r="E21" s="72">
        <v>-1.1000000000000001</v>
      </c>
      <c r="F21" s="25">
        <f t="shared" si="2"/>
        <v>-1</v>
      </c>
      <c r="G21" s="21">
        <f t="shared" si="3"/>
        <v>-6.5</v>
      </c>
      <c r="H21" s="25">
        <f t="shared" si="4"/>
        <v>-41.6</v>
      </c>
      <c r="I21" s="68">
        <f>IF(B21="","",IF(B21*2='Setup &amp; Summary'!$N$21,-H21,IF(B!B21*2&lt;'Setup &amp; Summary'!$N$21,B!I22+B!$N$5,B!I20-B!$N$5)))</f>
        <v>41.966666666666669</v>
      </c>
      <c r="J21" s="22">
        <f t="shared" si="0"/>
        <v>0.36666666666666714</v>
      </c>
      <c r="K21" s="23">
        <f t="shared" si="1"/>
        <v>3.6666666666666714</v>
      </c>
      <c r="L21" s="59"/>
      <c r="M21" s="60" t="str">
        <f>IF(B21="","",IF(B21*2='Setup &amp; Summary'!$N$21,"midstation row!",""))</f>
        <v/>
      </c>
      <c r="P21" s="28"/>
      <c r="Q21" s="28"/>
      <c r="R21" s="28"/>
    </row>
    <row r="22" spans="1:18" x14ac:dyDescent="0.2">
      <c r="A22" s="69">
        <f t="shared" si="5"/>
        <v>13</v>
      </c>
      <c r="B22" s="57">
        <f>IF('Setup &amp; Summary'!$N$21&gt;A22,A!B21+1,"")</f>
        <v>14</v>
      </c>
      <c r="C22" s="71">
        <v>0.4</v>
      </c>
      <c r="D22" s="72">
        <v>0.9</v>
      </c>
      <c r="E22" s="72">
        <v>0.7</v>
      </c>
      <c r="F22" s="25">
        <f t="shared" si="2"/>
        <v>0.66666666666666663</v>
      </c>
      <c r="G22" s="21">
        <f t="shared" si="3"/>
        <v>-4.833333333333333</v>
      </c>
      <c r="H22" s="25">
        <f t="shared" si="4"/>
        <v>-46.433333333333337</v>
      </c>
      <c r="I22" s="68">
        <f>IF(B22="","",IF(B22*2='Setup &amp; Summary'!$N$21,-H22,IF(B!B22*2&lt;'Setup &amp; Summary'!$N$21,B!I23+B!$N$5,B!I21-B!$N$5)))</f>
        <v>46.433333333333337</v>
      </c>
      <c r="J22" s="22">
        <f t="shared" si="0"/>
        <v>0</v>
      </c>
      <c r="K22" s="23">
        <f t="shared" si="1"/>
        <v>0</v>
      </c>
      <c r="L22" s="59"/>
      <c r="M22" s="60" t="str">
        <f>IF(B22="","",IF(B22*2='Setup &amp; Summary'!$N$21,"midstation row!",""))</f>
        <v>midstation row!</v>
      </c>
      <c r="P22" s="28"/>
      <c r="Q22" s="28"/>
      <c r="R22" s="28"/>
    </row>
    <row r="23" spans="1:18" x14ac:dyDescent="0.2">
      <c r="A23" s="69">
        <f t="shared" si="5"/>
        <v>14</v>
      </c>
      <c r="B23" s="57">
        <f>IF('Setup &amp; Summary'!$N$21&gt;A23,A!B22+1,"")</f>
        <v>15</v>
      </c>
      <c r="C23" s="71">
        <v>0.3</v>
      </c>
      <c r="D23" s="72">
        <v>0.5</v>
      </c>
      <c r="E23" s="72">
        <v>0.4</v>
      </c>
      <c r="F23" s="25">
        <f t="shared" si="2"/>
        <v>0.40000000000000008</v>
      </c>
      <c r="G23" s="21">
        <f t="shared" si="3"/>
        <v>-5.0999999999999996</v>
      </c>
      <c r="H23" s="25">
        <f t="shared" si="4"/>
        <v>-51.533333333333339</v>
      </c>
      <c r="I23" s="68">
        <f>IF(B23="","",IF(B23*2='Setup &amp; Summary'!$N$21,-H23,IF(B!B23*2&lt;'Setup &amp; Summary'!$N$21,B!I24+B!$N$5,B!I22-B!$N$5)))</f>
        <v>50.900000000000006</v>
      </c>
      <c r="J23" s="22">
        <f t="shared" si="0"/>
        <v>-0.63333333333333286</v>
      </c>
      <c r="K23" s="23">
        <f t="shared" si="1"/>
        <v>-6.3333333333333286</v>
      </c>
      <c r="L23" s="59"/>
      <c r="M23" s="60" t="str">
        <f>IF(B23="","",IF(B23*2='Setup &amp; Summary'!$N$21,"midstation row!",""))</f>
        <v/>
      </c>
    </row>
    <row r="24" spans="1:18" x14ac:dyDescent="0.2">
      <c r="A24" s="69">
        <f t="shared" si="5"/>
        <v>15</v>
      </c>
      <c r="B24" s="57">
        <f>IF('Setup &amp; Summary'!$N$21&gt;A24,A!B23+1,"")</f>
        <v>16</v>
      </c>
      <c r="C24" s="71">
        <v>-0.7</v>
      </c>
      <c r="D24" s="72">
        <v>-0.9</v>
      </c>
      <c r="E24" s="72">
        <v>-0.6</v>
      </c>
      <c r="F24" s="25">
        <f t="shared" si="2"/>
        <v>-0.73333333333333339</v>
      </c>
      <c r="G24" s="21">
        <f t="shared" si="3"/>
        <v>-6.2333333333333334</v>
      </c>
      <c r="H24" s="25">
        <f t="shared" si="4"/>
        <v>-57.766666666666673</v>
      </c>
      <c r="I24" s="68">
        <f>IF(B24="","",IF(B24*2='Setup &amp; Summary'!$N$21,-H24,IF(B!B24*2&lt;'Setup &amp; Summary'!$N$21,B!I25+B!$N$5,B!I23-B!$N$5)))</f>
        <v>55.366666666666674</v>
      </c>
      <c r="J24" s="22">
        <f t="shared" si="0"/>
        <v>-2.3999999999999986</v>
      </c>
      <c r="K24" s="23">
        <f t="shared" si="1"/>
        <v>-23.999999999999986</v>
      </c>
      <c r="L24" s="59"/>
      <c r="M24" s="60" t="str">
        <f>IF(B24="","",IF(B24*2='Setup &amp; Summary'!$N$21,"midstation row!",""))</f>
        <v/>
      </c>
    </row>
    <row r="25" spans="1:18" x14ac:dyDescent="0.2">
      <c r="A25" s="69">
        <f t="shared" si="5"/>
        <v>16</v>
      </c>
      <c r="B25" s="57">
        <f>IF('Setup &amp; Summary'!$N$21&gt;A25,A!B24+1,"")</f>
        <v>17</v>
      </c>
      <c r="C25" s="71">
        <v>-1</v>
      </c>
      <c r="D25" s="72">
        <v>-1</v>
      </c>
      <c r="E25" s="72">
        <v>-0.8</v>
      </c>
      <c r="F25" s="25">
        <f t="shared" si="2"/>
        <v>-0.93333333333333324</v>
      </c>
      <c r="G25" s="21">
        <f t="shared" si="3"/>
        <v>-6.4333333333333336</v>
      </c>
      <c r="H25" s="25">
        <f t="shared" si="4"/>
        <v>-64.2</v>
      </c>
      <c r="I25" s="68">
        <f>IF(B25="","",IF(B25*2='Setup &amp; Summary'!$N$21,-H25,IF(B!B25*2&lt;'Setup &amp; Summary'!$N$21,B!I26+B!$N$5,B!I24-B!$N$5)))</f>
        <v>59.833333333333343</v>
      </c>
      <c r="J25" s="22">
        <f t="shared" si="0"/>
        <v>-4.36666666666666</v>
      </c>
      <c r="K25" s="23">
        <f t="shared" si="1"/>
        <v>-43.6666666666666</v>
      </c>
      <c r="L25" s="59"/>
      <c r="M25" s="60" t="str">
        <f>IF(B25="","",IF(B25*2='Setup &amp; Summary'!$N$21,"midstation row!",""))</f>
        <v/>
      </c>
    </row>
    <row r="26" spans="1:18" x14ac:dyDescent="0.2">
      <c r="A26" s="69">
        <f t="shared" si="5"/>
        <v>17</v>
      </c>
      <c r="B26" s="57">
        <f>IF('Setup &amp; Summary'!$N$21&gt;A26,A!B25+1,"")</f>
        <v>18</v>
      </c>
      <c r="C26" s="71">
        <v>0.5</v>
      </c>
      <c r="D26" s="72">
        <v>0.8</v>
      </c>
      <c r="E26" s="72">
        <v>0.7</v>
      </c>
      <c r="F26" s="25">
        <f t="shared" si="2"/>
        <v>0.66666666666666663</v>
      </c>
      <c r="G26" s="21">
        <f t="shared" si="3"/>
        <v>-4.833333333333333</v>
      </c>
      <c r="H26" s="25">
        <f t="shared" si="4"/>
        <v>-69.033333333333331</v>
      </c>
      <c r="I26" s="68">
        <f>IF(B26="","",IF(B26*2='Setup &amp; Summary'!$N$21,-H26,IF(B!B26*2&lt;'Setup &amp; Summary'!$N$21,B!I27+B!$N$5,B!I25-B!$N$5)))</f>
        <v>64.300000000000011</v>
      </c>
      <c r="J26" s="22">
        <f t="shared" si="0"/>
        <v>-4.7333333333333201</v>
      </c>
      <c r="K26" s="23">
        <f t="shared" si="1"/>
        <v>-47.333333333333201</v>
      </c>
      <c r="L26" s="59"/>
      <c r="M26" s="60" t="str">
        <f>IF(B26="","",IF(B26*2='Setup &amp; Summary'!$N$21,"midstation row!",""))</f>
        <v/>
      </c>
    </row>
    <row r="27" spans="1:18" x14ac:dyDescent="0.2">
      <c r="A27" s="69">
        <f t="shared" si="5"/>
        <v>18</v>
      </c>
      <c r="B27" s="57">
        <f>IF('Setup &amp; Summary'!$N$21&gt;A27,A!B26+1,"")</f>
        <v>19</v>
      </c>
      <c r="C27" s="71">
        <v>-0.2</v>
      </c>
      <c r="D27" s="72">
        <v>-0.2</v>
      </c>
      <c r="E27" s="72">
        <v>-0.4</v>
      </c>
      <c r="F27" s="25">
        <f t="shared" si="2"/>
        <v>-0.26666666666666666</v>
      </c>
      <c r="G27" s="21">
        <f t="shared" si="3"/>
        <v>-5.7666666666666666</v>
      </c>
      <c r="H27" s="25">
        <f t="shared" si="4"/>
        <v>-74.8</v>
      </c>
      <c r="I27" s="68">
        <f>IF(B27="","",IF(B27*2='Setup &amp; Summary'!$N$21,-H27,IF(B!B27*2&lt;'Setup &amp; Summary'!$N$21,B!I28+B!$N$5,B!I26-B!$N$5)))</f>
        <v>68.76666666666668</v>
      </c>
      <c r="J27" s="22">
        <f t="shared" si="0"/>
        <v>-6.0333333333333172</v>
      </c>
      <c r="K27" s="23">
        <f t="shared" si="1"/>
        <v>-60.333333333333172</v>
      </c>
      <c r="M27" s="60" t="str">
        <f>IF(B27="","",IF(B27*2='Setup &amp; Summary'!$N$21,"midstation row!",""))</f>
        <v/>
      </c>
    </row>
    <row r="28" spans="1:18" x14ac:dyDescent="0.2">
      <c r="A28" s="69">
        <f t="shared" si="5"/>
        <v>19</v>
      </c>
      <c r="B28" s="57">
        <f>IF('Setup &amp; Summary'!$N$21&gt;A28,A!B27+1,"")</f>
        <v>20</v>
      </c>
      <c r="C28" s="71">
        <v>1.2</v>
      </c>
      <c r="D28" s="72">
        <v>0.8</v>
      </c>
      <c r="E28" s="72">
        <v>1</v>
      </c>
      <c r="F28" s="25">
        <f>IF(B28="","",AVERAGE(C28:E28))</f>
        <v>1</v>
      </c>
      <c r="G28" s="21">
        <f>IF(B28="","",F28-$F$9)</f>
        <v>-4.5</v>
      </c>
      <c r="H28" s="25">
        <f>IF(B28="","",H27+G28)</f>
        <v>-79.3</v>
      </c>
      <c r="I28" s="68">
        <f>IF(B28="","",IF(B28*2='Setup &amp; Summary'!$N$21,-H28,IF(B!B28*2&lt;'Setup &amp; Summary'!$N$21,B!I29+B!$N$5,B!I27-B!$N$5)))</f>
        <v>73.233333333333348</v>
      </c>
      <c r="J28" s="22">
        <f t="shared" si="0"/>
        <v>-6.0666666666666487</v>
      </c>
      <c r="K28" s="23">
        <f t="shared" si="1"/>
        <v>-60.666666666666487</v>
      </c>
      <c r="M28" s="60" t="str">
        <f>IF(B28="","",IF(B28*2='Setup &amp; Summary'!$N$21,"midstation row!",""))</f>
        <v/>
      </c>
    </row>
    <row r="29" spans="1:18" x14ac:dyDescent="0.2">
      <c r="A29" s="69">
        <f t="shared" si="5"/>
        <v>20</v>
      </c>
      <c r="B29" s="57">
        <f>IF('Setup &amp; Summary'!$N$21&gt;A29,A!B28+1,"")</f>
        <v>21</v>
      </c>
      <c r="C29" s="71">
        <v>-0.4</v>
      </c>
      <c r="D29" s="72">
        <v>-0.2</v>
      </c>
      <c r="E29" s="72">
        <v>-0.3</v>
      </c>
      <c r="F29" s="25">
        <f t="shared" si="2"/>
        <v>-0.30000000000000004</v>
      </c>
      <c r="G29" s="21">
        <f t="shared" si="3"/>
        <v>-5.8</v>
      </c>
      <c r="H29" s="25">
        <f t="shared" si="4"/>
        <v>-85.1</v>
      </c>
      <c r="I29" s="68">
        <f>IF(B29="","",IF(B29*2='Setup &amp; Summary'!$N$21,-H29,IF(B!B29*2&lt;'Setup &amp; Summary'!$N$21,B!I30+B!$N$5,B!I28-B!$N$5)))</f>
        <v>77.700000000000017</v>
      </c>
      <c r="J29" s="22">
        <f t="shared" si="0"/>
        <v>-7.3999999999999773</v>
      </c>
      <c r="K29" s="23">
        <f t="shared" si="1"/>
        <v>-73.999999999999773</v>
      </c>
      <c r="M29" s="60" t="str">
        <f>IF(B29="","",IF(B29*2='Setup &amp; Summary'!$N$21,"midstation row!",""))</f>
        <v/>
      </c>
    </row>
    <row r="30" spans="1:18" x14ac:dyDescent="0.2">
      <c r="A30" s="69">
        <f t="shared" si="5"/>
        <v>21</v>
      </c>
      <c r="B30" s="57">
        <f>IF('Setup &amp; Summary'!$N$21&gt;A30,A!B29+1,"")</f>
        <v>22</v>
      </c>
      <c r="C30" s="71">
        <v>0.1</v>
      </c>
      <c r="D30" s="72">
        <v>0.5</v>
      </c>
      <c r="E30" s="72">
        <v>0.7</v>
      </c>
      <c r="F30" s="25">
        <f t="shared" si="2"/>
        <v>0.43333333333333329</v>
      </c>
      <c r="G30" s="21">
        <f t="shared" si="3"/>
        <v>-5.0666666666666664</v>
      </c>
      <c r="H30" s="25">
        <f t="shared" si="4"/>
        <v>-90.166666666666657</v>
      </c>
      <c r="I30" s="68">
        <f>IF(B30="","",IF(B30*2='Setup &amp; Summary'!$N$21,-H30,IF(B!B30*2&lt;'Setup &amp; Summary'!$N$21,B!I31+B!$N$5,B!I29-B!$N$5)))</f>
        <v>82.166666666666686</v>
      </c>
      <c r="J30" s="22">
        <f t="shared" si="0"/>
        <v>-7.9999999999999716</v>
      </c>
      <c r="K30" s="23">
        <f t="shared" si="1"/>
        <v>-79.999999999999716</v>
      </c>
      <c r="M30" s="60" t="str">
        <f>IF(B30="","",IF(B30*2='Setup &amp; Summary'!$N$21,"midstation row!",""))</f>
        <v/>
      </c>
    </row>
    <row r="31" spans="1:18" x14ac:dyDescent="0.2">
      <c r="A31" s="69">
        <f t="shared" si="5"/>
        <v>22</v>
      </c>
      <c r="B31" s="57">
        <f>IF('Setup &amp; Summary'!$N$21&gt;A31,A!B30+1,"")</f>
        <v>23</v>
      </c>
      <c r="C31" s="71">
        <v>0.1</v>
      </c>
      <c r="D31" s="72">
        <v>0.4</v>
      </c>
      <c r="E31" s="72">
        <v>0.2</v>
      </c>
      <c r="F31" s="25">
        <f t="shared" si="2"/>
        <v>0.23333333333333331</v>
      </c>
      <c r="G31" s="21">
        <f t="shared" si="3"/>
        <v>-5.2666666666666666</v>
      </c>
      <c r="H31" s="25">
        <f t="shared" si="4"/>
        <v>-95.433333333333323</v>
      </c>
      <c r="I31" s="68">
        <f>IF(B31="","",IF(B31*2='Setup &amp; Summary'!$N$21,-H31,IF(B!B31*2&lt;'Setup &amp; Summary'!$N$21,B!I32+B!$N$5,B!I30-B!$N$5)))</f>
        <v>86.633333333333354</v>
      </c>
      <c r="J31" s="22">
        <f t="shared" si="0"/>
        <v>-8.7999999999999687</v>
      </c>
      <c r="K31" s="23">
        <f t="shared" si="1"/>
        <v>-87.999999999999687</v>
      </c>
      <c r="M31" s="60" t="str">
        <f>IF(B31="","",IF(B31*2='Setup &amp; Summary'!$N$21,"midstation row!",""))</f>
        <v/>
      </c>
    </row>
    <row r="32" spans="1:18" x14ac:dyDescent="0.2">
      <c r="A32" s="69">
        <f t="shared" si="5"/>
        <v>23</v>
      </c>
      <c r="B32" s="57">
        <f>IF('Setup &amp; Summary'!$N$21&gt;A32,A!B31+1,"")</f>
        <v>24</v>
      </c>
      <c r="C32" s="71">
        <v>0.3</v>
      </c>
      <c r="D32" s="72">
        <v>0.3</v>
      </c>
      <c r="E32" s="72">
        <v>0.2</v>
      </c>
      <c r="F32" s="25">
        <f t="shared" si="2"/>
        <v>0.26666666666666666</v>
      </c>
      <c r="G32" s="21">
        <f t="shared" si="3"/>
        <v>-5.2333333333333334</v>
      </c>
      <c r="H32" s="25">
        <f t="shared" si="4"/>
        <v>-100.66666666666666</v>
      </c>
      <c r="I32" s="68">
        <f>IF(B32="","",IF(B32*2='Setup &amp; Summary'!$N$21,-H32,IF(B!B32*2&lt;'Setup &amp; Summary'!$N$21,B!I33+B!$N$5,B!I31-B!$N$5)))</f>
        <v>91.100000000000023</v>
      </c>
      <c r="J32" s="22">
        <f t="shared" si="0"/>
        <v>-9.5666666666666345</v>
      </c>
      <c r="K32" s="23">
        <f t="shared" si="1"/>
        <v>-95.666666666666345</v>
      </c>
      <c r="M32" s="60" t="str">
        <f>IF(B32="","",IF(B32*2='Setup &amp; Summary'!$N$21,"midstation row!",""))</f>
        <v/>
      </c>
    </row>
    <row r="33" spans="1:13" x14ac:dyDescent="0.2">
      <c r="A33" s="69">
        <f t="shared" si="5"/>
        <v>24</v>
      </c>
      <c r="B33" s="57">
        <f>IF('Setup &amp; Summary'!$N$21&gt;A33,A!B32+1,"")</f>
        <v>25</v>
      </c>
      <c r="C33" s="71">
        <v>-0.2</v>
      </c>
      <c r="D33" s="72">
        <v>-0.4</v>
      </c>
      <c r="E33" s="72">
        <v>-0.5</v>
      </c>
      <c r="F33" s="25">
        <f t="shared" si="2"/>
        <v>-0.3666666666666667</v>
      </c>
      <c r="G33" s="21">
        <f t="shared" si="3"/>
        <v>-5.8666666666666671</v>
      </c>
      <c r="H33" s="25">
        <f t="shared" si="4"/>
        <v>-106.53333333333333</v>
      </c>
      <c r="I33" s="68">
        <f>IF(B33="","",IF(B33*2='Setup &amp; Summary'!$N$21,-H33,IF(B!B33*2&lt;'Setup &amp; Summary'!$N$21,B!I34+B!$N$5,B!I32-B!$N$5)))</f>
        <v>95.566666666666691</v>
      </c>
      <c r="J33" s="22">
        <f t="shared" si="0"/>
        <v>-10.96666666666664</v>
      </c>
      <c r="K33" s="23">
        <f t="shared" si="1"/>
        <v>-109.6666666666664</v>
      </c>
      <c r="M33" s="60" t="str">
        <f>IF(B33="","",IF(B33*2='Setup &amp; Summary'!$N$21,"midstation row!",""))</f>
        <v/>
      </c>
    </row>
    <row r="34" spans="1:13" x14ac:dyDescent="0.2">
      <c r="A34" s="69">
        <f t="shared" si="5"/>
        <v>25</v>
      </c>
      <c r="B34" s="57">
        <f>IF('Setup &amp; Summary'!$N$21&gt;A34,A!B33+1,"")</f>
        <v>26</v>
      </c>
      <c r="C34" s="71">
        <v>-1</v>
      </c>
      <c r="D34" s="72">
        <v>-0.7</v>
      </c>
      <c r="E34" s="72">
        <v>-0.8</v>
      </c>
      <c r="F34" s="25">
        <f t="shared" si="2"/>
        <v>-0.83333333333333337</v>
      </c>
      <c r="G34" s="21">
        <f t="shared" si="3"/>
        <v>-6.333333333333333</v>
      </c>
      <c r="H34" s="25">
        <f t="shared" si="4"/>
        <v>-112.86666666666666</v>
      </c>
      <c r="I34" s="68">
        <f>IF(B34="","",IF(B34*2='Setup &amp; Summary'!$N$21,-H34,IF(B!B34*2&lt;'Setup &amp; Summary'!$N$21,B!I35+B!$N$5,B!I33-B!$N$5)))</f>
        <v>100.03333333333336</v>
      </c>
      <c r="J34" s="22">
        <f t="shared" si="0"/>
        <v>-12.8333333333333</v>
      </c>
      <c r="K34" s="23">
        <f t="shared" si="1"/>
        <v>-128.333333333333</v>
      </c>
      <c r="M34" s="60" t="str">
        <f>IF(B34="","",IF(B34*2='Setup &amp; Summary'!$N$21,"midstation row!",""))</f>
        <v/>
      </c>
    </row>
    <row r="35" spans="1:13" x14ac:dyDescent="0.2">
      <c r="A35" s="69">
        <f t="shared" si="5"/>
        <v>26</v>
      </c>
      <c r="B35" s="57">
        <f>IF('Setup &amp; Summary'!$N$21&gt;A35,A!B34+1,"")</f>
        <v>27</v>
      </c>
      <c r="C35" s="71">
        <v>-0.7</v>
      </c>
      <c r="D35" s="72">
        <v>-0.5</v>
      </c>
      <c r="E35" s="72">
        <v>-0.4</v>
      </c>
      <c r="F35" s="25">
        <f t="shared" si="2"/>
        <v>-0.53333333333333333</v>
      </c>
      <c r="G35" s="21">
        <f t="shared" si="3"/>
        <v>-6.0333333333333332</v>
      </c>
      <c r="H35" s="25">
        <f t="shared" si="4"/>
        <v>-118.89999999999999</v>
      </c>
      <c r="I35" s="68">
        <f>IF(B35="","",IF(B35*2='Setup &amp; Summary'!$N$21,-H35,IF(B!B35*2&lt;'Setup &amp; Summary'!$N$21,B!I36+B!$N$5,B!I34-B!$N$5)))</f>
        <v>104.50000000000003</v>
      </c>
      <c r="J35" s="22">
        <f t="shared" si="0"/>
        <v>-14.399999999999963</v>
      </c>
      <c r="K35" s="23">
        <f t="shared" si="1"/>
        <v>-143.99999999999963</v>
      </c>
      <c r="M35" s="60" t="str">
        <f>IF(B35="","",IF(B35*2='Setup &amp; Summary'!$N$21,"midstation row!",""))</f>
        <v/>
      </c>
    </row>
    <row r="36" spans="1:13" x14ac:dyDescent="0.2">
      <c r="A36" s="69">
        <f t="shared" si="5"/>
        <v>27</v>
      </c>
      <c r="B36" s="57">
        <f>IF('Setup &amp; Summary'!$N$21&gt;A36,A!B35+1,"")</f>
        <v>28</v>
      </c>
      <c r="C36" s="71">
        <v>-0.9</v>
      </c>
      <c r="D36" s="72">
        <v>-0.5</v>
      </c>
      <c r="E36" s="72">
        <v>-0.6</v>
      </c>
      <c r="F36" s="25">
        <f t="shared" si="2"/>
        <v>-0.66666666666666663</v>
      </c>
      <c r="G36" s="21">
        <f t="shared" si="3"/>
        <v>-6.166666666666667</v>
      </c>
      <c r="H36" s="25">
        <f t="shared" si="4"/>
        <v>-125.06666666666666</v>
      </c>
      <c r="I36" s="68">
        <f>IF(B36="","",IF(B36*2='Setup &amp; Summary'!$N$21,-H36,IF(B!B36*2&lt;'Setup &amp; Summary'!$N$21,B!I37+B!$N$5,B!I35-B!$N$5)))</f>
        <v>108.9666666666667</v>
      </c>
      <c r="J36" s="22">
        <f t="shared" si="0"/>
        <v>-16.099999999999966</v>
      </c>
      <c r="K36" s="23">
        <f t="shared" si="1"/>
        <v>-160.99999999999966</v>
      </c>
      <c r="M36" s="60" t="str">
        <f>IF(B36="","",IF(B36*2='Setup &amp; Summary'!$N$21,"midstation row!",""))</f>
        <v/>
      </c>
    </row>
    <row r="37" spans="1:13" x14ac:dyDescent="0.2">
      <c r="A37" s="69">
        <f t="shared" si="5"/>
        <v>28</v>
      </c>
      <c r="B37" s="57" t="str">
        <f>IF('Setup &amp; Summary'!$N$21&gt;A37,A!B36+1,"")</f>
        <v/>
      </c>
      <c r="C37" s="71"/>
      <c r="D37" s="72"/>
      <c r="E37" s="72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68" t="str">
        <f>IF(B37="","",IF(B37*2='Setup &amp; Summary'!$N$21,-H37,IF(B!B37*2&lt;'Setup &amp; Summary'!$N$21,B!I38+B!$N$5,B!I36-B!$N$5)))</f>
        <v/>
      </c>
      <c r="J37" s="22" t="str">
        <f t="shared" si="0"/>
        <v/>
      </c>
      <c r="K37" s="23" t="str">
        <f t="shared" si="1"/>
        <v/>
      </c>
      <c r="M37" s="60" t="str">
        <f>IF(B37="","",IF(B37*2='Setup &amp; Summary'!$N$21,"midstation row!",""))</f>
        <v/>
      </c>
    </row>
    <row r="38" spans="1:13" x14ac:dyDescent="0.2">
      <c r="A38" s="69">
        <f t="shared" si="5"/>
        <v>29</v>
      </c>
      <c r="B38" s="57" t="str">
        <f>IF('Setup &amp; Summary'!$N$21&gt;A38,A!B37+1,"")</f>
        <v/>
      </c>
      <c r="C38" s="71"/>
      <c r="D38" s="72"/>
      <c r="E38" s="72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68" t="str">
        <f>IF(B38="","",IF(B38*2='Setup &amp; Summary'!$N$21,-H38,IF(B!B38*2&lt;'Setup &amp; Summary'!$N$21,B!I39+B!$N$5,B!I37-B!$N$5)))</f>
        <v/>
      </c>
      <c r="J38" s="22" t="str">
        <f t="shared" si="0"/>
        <v/>
      </c>
      <c r="K38" s="23" t="str">
        <f t="shared" si="1"/>
        <v/>
      </c>
      <c r="M38" s="60" t="str">
        <f>IF(B38="","",IF(B38*2='Setup &amp; Summary'!$N$21,"midstation row!",""))</f>
        <v/>
      </c>
    </row>
    <row r="39" spans="1:13" x14ac:dyDescent="0.2">
      <c r="A39" s="69">
        <f t="shared" si="5"/>
        <v>30</v>
      </c>
      <c r="B39" s="57" t="str">
        <f>IF('Setup &amp; Summary'!$N$21&gt;A39,A!B38+1,"")</f>
        <v/>
      </c>
      <c r="C39" s="71"/>
      <c r="D39" s="72"/>
      <c r="E39" s="72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68" t="str">
        <f>IF(B39="","",IF(B39*2='Setup &amp; Summary'!$N$21,-H39,IF(B!B39*2&lt;'Setup &amp; Summary'!$N$21,B!I40+B!$N$5,B!I38-B!$N$5)))</f>
        <v/>
      </c>
      <c r="J39" s="22" t="str">
        <f t="shared" si="0"/>
        <v/>
      </c>
      <c r="K39" s="23" t="str">
        <f t="shared" si="1"/>
        <v/>
      </c>
      <c r="M39" s="60" t="str">
        <f>IF(B39="","",IF(B39*2='Setup &amp; Summary'!$N$21,"midstation row!",""))</f>
        <v/>
      </c>
    </row>
    <row r="40" spans="1:13" x14ac:dyDescent="0.2">
      <c r="A40" s="69">
        <f t="shared" si="5"/>
        <v>31</v>
      </c>
      <c r="B40" s="57" t="str">
        <f>IF('Setup &amp; Summary'!$N$21&gt;A40,A!B39+1,"")</f>
        <v/>
      </c>
      <c r="C40" s="71"/>
      <c r="D40" s="72"/>
      <c r="E40" s="72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68" t="str">
        <f>IF(B40="","",IF(B40*2='Setup &amp; Summary'!$N$21,-H40,IF(B!B40*2&lt;'Setup &amp; Summary'!$N$21,B!I41+B!$N$5,B!I39-B!$N$5)))</f>
        <v/>
      </c>
      <c r="J40" s="22" t="str">
        <f t="shared" si="0"/>
        <v/>
      </c>
      <c r="K40" s="23" t="str">
        <f t="shared" si="1"/>
        <v/>
      </c>
      <c r="M40" s="60" t="str">
        <f>IF(B40="","",IF(B40*2='Setup &amp; Summary'!$N$21,"midstation row!",""))</f>
        <v/>
      </c>
    </row>
    <row r="41" spans="1:13" x14ac:dyDescent="0.2">
      <c r="A41" s="69">
        <f t="shared" si="5"/>
        <v>32</v>
      </c>
      <c r="B41" s="57" t="str">
        <f>IF('Setup &amp; Summary'!$N$21&gt;A41,A!B40+1,"")</f>
        <v/>
      </c>
      <c r="C41" s="71"/>
      <c r="D41" s="72"/>
      <c r="E41" s="72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68" t="str">
        <f>IF(B41="","",IF(B41*2='Setup &amp; Summary'!$N$21,-H41,IF(B!B41*2&lt;'Setup &amp; Summary'!$N$21,B!I42+B!$N$5,B!I40-B!$N$5)))</f>
        <v/>
      </c>
      <c r="J41" s="22" t="str">
        <f t="shared" si="0"/>
        <v/>
      </c>
      <c r="K41" s="23" t="str">
        <f t="shared" si="1"/>
        <v/>
      </c>
      <c r="M41" s="60" t="str">
        <f>IF(B41="","",IF(B41*2='Setup &amp; Summary'!$N$21,"midstation row!",""))</f>
        <v/>
      </c>
    </row>
    <row r="42" spans="1:13" x14ac:dyDescent="0.2">
      <c r="A42" s="69">
        <f t="shared" si="5"/>
        <v>33</v>
      </c>
      <c r="B42" s="57" t="str">
        <f>IF('Setup &amp; Summary'!$N$21&gt;A42,A!B41+1,"")</f>
        <v/>
      </c>
      <c r="C42" s="71"/>
      <c r="D42" s="72"/>
      <c r="E42" s="72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68" t="str">
        <f>IF(B42="","",IF(B42*2='Setup &amp; Summary'!$N$21,-H42,IF(B!B42*2&lt;'Setup &amp; Summary'!$N$21,B!I43+B!$N$5,B!I41-B!$N$5)))</f>
        <v/>
      </c>
      <c r="J42" s="22" t="str">
        <f t="shared" si="0"/>
        <v/>
      </c>
      <c r="K42" s="23" t="str">
        <f t="shared" si="1"/>
        <v/>
      </c>
      <c r="M42" s="60" t="str">
        <f>IF(B42="","",IF(B42*2='Setup &amp; Summary'!$N$21,"midstation row!",""))</f>
        <v/>
      </c>
    </row>
    <row r="43" spans="1:13" x14ac:dyDescent="0.2">
      <c r="A43" s="69">
        <f t="shared" si="5"/>
        <v>34</v>
      </c>
      <c r="B43" s="57" t="str">
        <f>IF('Setup &amp; Summary'!$N$21&gt;A43,A!B42+1,"")</f>
        <v/>
      </c>
      <c r="C43" s="71"/>
      <c r="D43" s="72"/>
      <c r="E43" s="72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68" t="str">
        <f>IF(B43="","",IF(B43*2='Setup &amp; Summary'!$N$21,-H43,IF(B!B43*2&lt;'Setup &amp; Summary'!$N$21,B!I44+B!$N$5,B!I42-B!$N$5)))</f>
        <v/>
      </c>
      <c r="J43" s="22" t="str">
        <f t="shared" si="0"/>
        <v/>
      </c>
      <c r="K43" s="23" t="str">
        <f t="shared" si="1"/>
        <v/>
      </c>
      <c r="M43" s="60" t="str">
        <f>IF(B43="","",IF(B43*2='Setup &amp; Summary'!$N$21,"midstation row!",""))</f>
        <v/>
      </c>
    </row>
    <row r="44" spans="1:13" x14ac:dyDescent="0.2">
      <c r="A44" s="69">
        <f t="shared" si="5"/>
        <v>35</v>
      </c>
      <c r="B44" s="57" t="str">
        <f>IF('Setup &amp; Summary'!$N$21&gt;A44,A!B43+1,"")</f>
        <v/>
      </c>
      <c r="C44" s="71"/>
      <c r="D44" s="72"/>
      <c r="E44" s="72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68" t="str">
        <f>IF(B44="","",IF(B44*2='Setup &amp; Summary'!$N$21,-H44,IF(B!B44*2&lt;'Setup &amp; Summary'!$N$21,B!I45+B!$N$5,B!I43-B!$N$5)))</f>
        <v/>
      </c>
      <c r="J44" s="22" t="str">
        <f t="shared" si="0"/>
        <v/>
      </c>
      <c r="K44" s="23" t="str">
        <f t="shared" si="1"/>
        <v/>
      </c>
      <c r="M44" s="60" t="str">
        <f>IF(B44="","",IF(B44*2='Setup &amp; Summary'!$N$21,"midstation row!",""))</f>
        <v/>
      </c>
    </row>
    <row r="45" spans="1:13" x14ac:dyDescent="0.2">
      <c r="A45" s="69">
        <f t="shared" si="5"/>
        <v>36</v>
      </c>
      <c r="B45" s="57" t="str">
        <f>IF('Setup &amp; Summary'!$N$21&gt;A45,A!B44+1,"")</f>
        <v/>
      </c>
      <c r="C45" s="71"/>
      <c r="D45" s="72"/>
      <c r="E45" s="72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68" t="str">
        <f>IF(B45="","",IF(B45*2='Setup &amp; Summary'!$N$21,-H45,IF(B!B45*2&lt;'Setup &amp; Summary'!$N$21,B!I46+B!$N$5,B!I44-B!$N$5)))</f>
        <v/>
      </c>
      <c r="J45" s="22" t="str">
        <f t="shared" si="0"/>
        <v/>
      </c>
      <c r="K45" s="23" t="str">
        <f t="shared" si="1"/>
        <v/>
      </c>
      <c r="M45" s="60" t="str">
        <f>IF(B45="","",IF(B45*2='Setup &amp; Summary'!$N$21,"midstation row!",""))</f>
        <v/>
      </c>
    </row>
    <row r="46" spans="1:13" x14ac:dyDescent="0.2">
      <c r="A46" s="69">
        <f t="shared" si="5"/>
        <v>37</v>
      </c>
      <c r="B46" s="57" t="str">
        <f>IF('Setup &amp; Summary'!$N$21&gt;A46,A!B45+1,"")</f>
        <v/>
      </c>
      <c r="C46" s="71"/>
      <c r="D46" s="72"/>
      <c r="E46" s="72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68" t="str">
        <f>IF(B46="","",IF(B46*2='Setup &amp; Summary'!$N$21,-H46,IF(B!B46*2&lt;'Setup &amp; Summary'!$N$21,B!I47+B!$N$5,B!I45-B!$N$5)))</f>
        <v/>
      </c>
      <c r="J46" s="22" t="str">
        <f t="shared" si="0"/>
        <v/>
      </c>
      <c r="K46" s="23" t="str">
        <f t="shared" si="1"/>
        <v/>
      </c>
      <c r="M46" s="60" t="str">
        <f>IF(B46="","",IF(B46*2='Setup &amp; Summary'!$N$21,"midstation row!",""))</f>
        <v/>
      </c>
    </row>
    <row r="47" spans="1:13" x14ac:dyDescent="0.2">
      <c r="A47" s="69">
        <f t="shared" si="5"/>
        <v>38</v>
      </c>
      <c r="B47" s="57" t="str">
        <f>IF('Setup &amp; Summary'!$N$21&gt;A47,A!B46+1,"")</f>
        <v/>
      </c>
      <c r="C47" s="71"/>
      <c r="D47" s="72"/>
      <c r="E47" s="72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68" t="str">
        <f>IF(B47="","",IF(B47*2='Setup &amp; Summary'!$N$21,-H47,IF(B!B47*2&lt;'Setup &amp; Summary'!$N$21,B!I48+B!$N$5,B!I46-B!$N$5)))</f>
        <v/>
      </c>
      <c r="J47" s="22" t="str">
        <f t="shared" si="0"/>
        <v/>
      </c>
      <c r="K47" s="23" t="str">
        <f t="shared" si="1"/>
        <v/>
      </c>
      <c r="M47" s="60" t="str">
        <f>IF(B47="","",IF(B47*2='Setup &amp; Summary'!$N$21,"midstation row!",""))</f>
        <v/>
      </c>
    </row>
    <row r="48" spans="1:13" x14ac:dyDescent="0.2">
      <c r="A48" s="69">
        <f t="shared" si="5"/>
        <v>39</v>
      </c>
      <c r="B48" s="57" t="str">
        <f>IF('Setup &amp; Summary'!$N$21&gt;A48,A!B47+1,"")</f>
        <v/>
      </c>
      <c r="C48" s="71"/>
      <c r="D48" s="72"/>
      <c r="E48" s="72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68" t="str">
        <f>IF(B48="","",IF(B48*2='Setup &amp; Summary'!$N$21,-H48,IF(B!B48*2&lt;'Setup &amp; Summary'!$N$21,B!I49+B!$N$5,B!I47-B!$N$5)))</f>
        <v/>
      </c>
      <c r="J48" s="22" t="str">
        <f t="shared" si="0"/>
        <v/>
      </c>
      <c r="K48" s="23" t="str">
        <f t="shared" si="1"/>
        <v/>
      </c>
      <c r="M48" s="60" t="str">
        <f>IF(B48="","",IF(B48*2='Setup &amp; Summary'!$N$21,"midstation row!",""))</f>
        <v/>
      </c>
    </row>
    <row r="49" spans="1:13" x14ac:dyDescent="0.2">
      <c r="A49" s="69">
        <f t="shared" si="5"/>
        <v>40</v>
      </c>
      <c r="B49" s="57" t="str">
        <f>IF('Setup &amp; Summary'!$N$21&gt;A49,A!B48+1,"")</f>
        <v/>
      </c>
      <c r="C49" s="71"/>
      <c r="D49" s="72"/>
      <c r="E49" s="72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68" t="str">
        <f>IF(B49="","",IF(B49*2='Setup &amp; Summary'!$N$21,-H49,IF(B!B49*2&lt;'Setup &amp; Summary'!$N$21,B!I50+B!$N$5,B!I48-B!$N$5)))</f>
        <v/>
      </c>
      <c r="J49" s="22" t="str">
        <f t="shared" si="0"/>
        <v/>
      </c>
      <c r="K49" s="23" t="str">
        <f t="shared" si="1"/>
        <v/>
      </c>
      <c r="M49" s="60" t="str">
        <f>IF(B49="","",IF(B49*2='Setup &amp; Summary'!$N$21,"midstation row!",""))</f>
        <v/>
      </c>
    </row>
    <row r="50" spans="1:13" x14ac:dyDescent="0.2">
      <c r="A50" s="69">
        <f t="shared" si="5"/>
        <v>41</v>
      </c>
      <c r="B50" s="57" t="str">
        <f>IF('Setup &amp; Summary'!$N$21&gt;A50,A!B49+1,"")</f>
        <v/>
      </c>
      <c r="C50" s="71"/>
      <c r="D50" s="72"/>
      <c r="E50" s="72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68" t="str">
        <f>IF(B50="","",IF(B50*2='Setup &amp; Summary'!$N$21,-H50,IF(B!B50*2&lt;'Setup &amp; Summary'!$N$21,B!I51+B!$N$5,B!I49-B!$N$5)))</f>
        <v/>
      </c>
      <c r="J50" s="22" t="str">
        <f t="shared" si="0"/>
        <v/>
      </c>
      <c r="K50" s="23" t="str">
        <f t="shared" si="1"/>
        <v/>
      </c>
      <c r="M50" s="60" t="str">
        <f>IF(B50="","",IF(B50*2='Setup &amp; Summary'!$N$21,"midstation row!",""))</f>
        <v/>
      </c>
    </row>
    <row r="51" spans="1:13" x14ac:dyDescent="0.2">
      <c r="A51" s="69">
        <f t="shared" si="5"/>
        <v>42</v>
      </c>
      <c r="B51" s="57" t="str">
        <f>IF('Setup &amp; Summary'!$N$21&gt;A51,A!B50+1,"")</f>
        <v/>
      </c>
      <c r="C51" s="71"/>
      <c r="D51" s="72"/>
      <c r="E51" s="72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68" t="str">
        <f>IF(B51="","",IF(B51*2='Setup &amp; Summary'!$N$21,-H51,IF(B!B51*2&lt;'Setup &amp; Summary'!$N$21,B!I52+B!$N$5,B!I50-B!$N$5)))</f>
        <v/>
      </c>
      <c r="J51" s="22" t="str">
        <f t="shared" si="0"/>
        <v/>
      </c>
      <c r="K51" s="23" t="str">
        <f t="shared" si="1"/>
        <v/>
      </c>
      <c r="M51" s="60" t="str">
        <f>IF(B51="","",IF(B51*2='Setup &amp; Summary'!$N$21,"midstation row!",""))</f>
        <v/>
      </c>
    </row>
    <row r="52" spans="1:13" x14ac:dyDescent="0.2">
      <c r="A52" s="69">
        <f t="shared" si="5"/>
        <v>43</v>
      </c>
      <c r="B52" s="57" t="str">
        <f>IF('Setup &amp; Summary'!$N$21&gt;A52,A!B51+1,"")</f>
        <v/>
      </c>
      <c r="C52" s="71"/>
      <c r="D52" s="72"/>
      <c r="E52" s="72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68" t="str">
        <f>IF(B52="","",IF(B52*2='Setup &amp; Summary'!$N$21,-H52,IF(B!B52*2&lt;'Setup &amp; Summary'!$N$21,B!I53+B!$N$5,B!I51-B!$N$5)))</f>
        <v/>
      </c>
      <c r="J52" s="22" t="str">
        <f t="shared" si="0"/>
        <v/>
      </c>
      <c r="K52" s="23" t="str">
        <f t="shared" si="1"/>
        <v/>
      </c>
      <c r="M52" s="60" t="str">
        <f>IF(B52="","",IF(B52*2='Setup &amp; Summary'!$N$21,"midstation row!",""))</f>
        <v/>
      </c>
    </row>
    <row r="53" spans="1:13" x14ac:dyDescent="0.2">
      <c r="A53" s="69">
        <f t="shared" si="5"/>
        <v>44</v>
      </c>
      <c r="B53" s="57" t="str">
        <f>IF('Setup &amp; Summary'!$N$21&gt;A53,A!B52+1,"")</f>
        <v/>
      </c>
      <c r="C53" s="71"/>
      <c r="D53" s="72"/>
      <c r="E53" s="72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68" t="str">
        <f>IF(B53="","",IF(B53*2='Setup &amp; Summary'!$N$21,-H53,IF(B!B53*2&lt;'Setup &amp; Summary'!$N$21,B!I54+B!$N$5,B!I52-B!$N$5)))</f>
        <v/>
      </c>
      <c r="J53" s="22" t="str">
        <f t="shared" si="0"/>
        <v/>
      </c>
      <c r="K53" s="23" t="str">
        <f t="shared" si="1"/>
        <v/>
      </c>
      <c r="M53" s="60" t="str">
        <f>IF(B53="","",IF(B53*2='Setup &amp; Summary'!$N$21,"midstation row!",""))</f>
        <v/>
      </c>
    </row>
    <row r="54" spans="1:13" x14ac:dyDescent="0.2">
      <c r="A54" s="69">
        <f t="shared" si="5"/>
        <v>45</v>
      </c>
      <c r="B54" s="57" t="str">
        <f>IF('Setup &amp; Summary'!$N$21&gt;A54,A!B53+1,"")</f>
        <v/>
      </c>
      <c r="C54" s="71"/>
      <c r="D54" s="72"/>
      <c r="E54" s="72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68" t="str">
        <f>IF(B54="","",IF(B54*2='Setup &amp; Summary'!$N$21,-H54,IF(B!B54*2&lt;'Setup &amp; Summary'!$N$21,B!I55+B!$N$5,B!I53-B!$N$5)))</f>
        <v/>
      </c>
      <c r="J54" s="22" t="str">
        <f t="shared" si="0"/>
        <v/>
      </c>
      <c r="K54" s="23" t="str">
        <f t="shared" si="1"/>
        <v/>
      </c>
      <c r="M54" s="60" t="str">
        <f>IF(B54="","",IF(B54*2='Setup &amp; Summary'!$N$21,"midstation row!",""))</f>
        <v/>
      </c>
    </row>
    <row r="55" spans="1:13" x14ac:dyDescent="0.2">
      <c r="A55" s="69">
        <f t="shared" si="5"/>
        <v>46</v>
      </c>
      <c r="B55" s="57" t="str">
        <f>IF('Setup &amp; Summary'!$N$21&gt;A55,A!B54+1,"")</f>
        <v/>
      </c>
      <c r="C55" s="71"/>
      <c r="D55" s="72"/>
      <c r="E55" s="72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68" t="str">
        <f>IF(B55="","",IF(B55*2='Setup &amp; Summary'!$N$21,-H55,IF(B!B55*2&lt;'Setup &amp; Summary'!$N$21,B!I56+B!$N$5,B!I54-B!$N$5)))</f>
        <v/>
      </c>
      <c r="J55" s="22" t="str">
        <f t="shared" si="0"/>
        <v/>
      </c>
      <c r="K55" s="23" t="str">
        <f t="shared" si="1"/>
        <v/>
      </c>
      <c r="M55" s="60" t="str">
        <f>IF(B55="","",IF(B55*2='Setup &amp; Summary'!$N$21,"midstation row!",""))</f>
        <v/>
      </c>
    </row>
    <row r="56" spans="1:13" x14ac:dyDescent="0.2">
      <c r="A56" s="69">
        <f t="shared" si="5"/>
        <v>47</v>
      </c>
      <c r="B56" s="57" t="str">
        <f>IF('Setup &amp; Summary'!$N$21&gt;A56,A!B55+1,"")</f>
        <v/>
      </c>
      <c r="C56" s="71"/>
      <c r="D56" s="72"/>
      <c r="E56" s="72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68" t="str">
        <f>IF(B56="","",IF(B56*2='Setup &amp; Summary'!$N$21,-H56,IF(B!B56*2&lt;'Setup &amp; Summary'!$N$21,B!I57+B!$N$5,B!I55-B!$N$5)))</f>
        <v/>
      </c>
      <c r="J56" s="22" t="str">
        <f t="shared" si="0"/>
        <v/>
      </c>
      <c r="K56" s="23" t="str">
        <f t="shared" si="1"/>
        <v/>
      </c>
      <c r="M56" s="60" t="str">
        <f>IF(B56="","",IF(B56*2='Setup &amp; Summary'!$N$21,"midstation row!",""))</f>
        <v/>
      </c>
    </row>
    <row r="57" spans="1:13" x14ac:dyDescent="0.2">
      <c r="A57" s="69">
        <f t="shared" si="5"/>
        <v>48</v>
      </c>
      <c r="B57" s="57" t="str">
        <f>IF('Setup &amp; Summary'!$N$21&gt;A57,A!B56+1,"")</f>
        <v/>
      </c>
      <c r="C57" s="71"/>
      <c r="D57" s="72"/>
      <c r="E57" s="72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68" t="str">
        <f>IF(B57="","",IF(B57*2='Setup &amp; Summary'!$N$21,-H57,IF(B!B57*2&lt;'Setup &amp; Summary'!$N$21,B!I58+B!$N$5,B!I56-B!$N$5)))</f>
        <v/>
      </c>
      <c r="J57" s="22" t="str">
        <f t="shared" si="0"/>
        <v/>
      </c>
      <c r="K57" s="23" t="str">
        <f t="shared" si="1"/>
        <v/>
      </c>
      <c r="M57" s="60" t="str">
        <f>IF(B57="","",IF(B57*2='Setup &amp; Summary'!$N$21,"midstation row!",""))</f>
        <v/>
      </c>
    </row>
    <row r="58" spans="1:13" x14ac:dyDescent="0.2">
      <c r="A58" s="69">
        <f t="shared" si="5"/>
        <v>49</v>
      </c>
      <c r="B58" s="57" t="str">
        <f>IF('Setup &amp; Summary'!$N$21&gt;A58,A!B57+1,"")</f>
        <v/>
      </c>
      <c r="C58" s="71"/>
      <c r="D58" s="72"/>
      <c r="E58" s="72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68" t="str">
        <f>IF(B58="","",IF(B58*2='Setup &amp; Summary'!$N$21,-H58,IF(B!B58*2&lt;'Setup &amp; Summary'!$N$21,B!I59+B!$N$5,B!I57-B!$N$5)))</f>
        <v/>
      </c>
      <c r="J58" s="22" t="str">
        <f t="shared" si="0"/>
        <v/>
      </c>
      <c r="K58" s="23" t="str">
        <f t="shared" si="1"/>
        <v/>
      </c>
      <c r="M58" s="60" t="str">
        <f>IF(B58="","",IF(B58*2='Setup &amp; Summary'!$N$21,"midstation row!",""))</f>
        <v/>
      </c>
    </row>
    <row r="59" spans="1:13" x14ac:dyDescent="0.2">
      <c r="A59" s="69">
        <f t="shared" si="5"/>
        <v>50</v>
      </c>
      <c r="B59" s="57" t="str">
        <f>IF('Setup &amp; Summary'!$N$21&gt;A59,A!B58+1,"")</f>
        <v/>
      </c>
      <c r="C59" s="71"/>
      <c r="D59" s="72"/>
      <c r="E59" s="72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68" t="str">
        <f>IF(B59="","",IF(B59*2='Setup &amp; Summary'!$N$21,-H59,IF(B!B59*2&lt;'Setup &amp; Summary'!$N$21,B!I60+B!$N$5,B!I58-B!$N$5)))</f>
        <v/>
      </c>
      <c r="J59" s="22" t="str">
        <f t="shared" si="0"/>
        <v/>
      </c>
      <c r="K59" s="23" t="str">
        <f t="shared" si="1"/>
        <v/>
      </c>
      <c r="M59" s="60" t="str">
        <f>IF(B59="","",IF(B59*2='Setup &amp; Summary'!$N$21,"midstation row!",""))</f>
        <v/>
      </c>
    </row>
    <row r="60" spans="1:13" x14ac:dyDescent="0.2">
      <c r="A60" s="69">
        <f t="shared" si="5"/>
        <v>51</v>
      </c>
      <c r="B60" s="57" t="str">
        <f>IF('Setup &amp; Summary'!$N$21&gt;A60,A!B59+1,"")</f>
        <v/>
      </c>
      <c r="C60" s="71"/>
      <c r="D60" s="72"/>
      <c r="E60" s="72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68" t="str">
        <f>IF(B60="","",IF(B60*2='Setup &amp; Summary'!$N$21,-H60,IF(B!B60*2&lt;'Setup &amp; Summary'!$N$21,B!I61+B!$N$5,B!I59-B!$N$5)))</f>
        <v/>
      </c>
      <c r="J60" s="22" t="str">
        <f t="shared" si="0"/>
        <v/>
      </c>
      <c r="K60" s="23" t="str">
        <f t="shared" si="1"/>
        <v/>
      </c>
      <c r="M60" s="60" t="str">
        <f>IF(B60="","",IF(B60*2='Setup &amp; Summary'!$N$21,"midstation row!",""))</f>
        <v/>
      </c>
    </row>
    <row r="61" spans="1:13" x14ac:dyDescent="0.2">
      <c r="A61" s="69">
        <f t="shared" si="5"/>
        <v>52</v>
      </c>
      <c r="B61" s="57" t="str">
        <f>IF('Setup &amp; Summary'!$N$21&gt;A61,A!B60+1,"")</f>
        <v/>
      </c>
      <c r="C61" s="71"/>
      <c r="D61" s="72"/>
      <c r="E61" s="72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68" t="str">
        <f>IF(B61="","",IF(B61*2='Setup &amp; Summary'!$N$21,-H61,IF(B!B61*2&lt;'Setup &amp; Summary'!$N$21,B!I62+B!$N$5,B!I60-B!$N$5)))</f>
        <v/>
      </c>
      <c r="J61" s="22" t="str">
        <f t="shared" si="0"/>
        <v/>
      </c>
      <c r="K61" s="23" t="str">
        <f t="shared" si="1"/>
        <v/>
      </c>
      <c r="M61" s="60" t="str">
        <f>IF(B61="","",IF(B61*2='Setup &amp; Summary'!$N$21,"midstation row!",""))</f>
        <v/>
      </c>
    </row>
    <row r="62" spans="1:13" x14ac:dyDescent="0.2">
      <c r="A62" s="69">
        <f t="shared" si="5"/>
        <v>53</v>
      </c>
      <c r="B62" s="57" t="str">
        <f>IF('Setup &amp; Summary'!$N$21&gt;A62,A!B61+1,"")</f>
        <v/>
      </c>
      <c r="C62" s="71"/>
      <c r="D62" s="72"/>
      <c r="E62" s="72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68" t="str">
        <f>IF(B62="","",IF(B62*2='Setup &amp; Summary'!$N$21,-H62,IF(B!B62*2&lt;'Setup &amp; Summary'!$N$21,B!I63+B!$N$5,B!I61-B!$N$5)))</f>
        <v/>
      </c>
      <c r="J62" s="22" t="str">
        <f t="shared" si="0"/>
        <v/>
      </c>
      <c r="K62" s="23" t="str">
        <f t="shared" si="1"/>
        <v/>
      </c>
      <c r="M62" s="60" t="str">
        <f>IF(B62="","",IF(B62*2='Setup &amp; Summary'!$N$21,"midstation row!",""))</f>
        <v/>
      </c>
    </row>
    <row r="63" spans="1:13" x14ac:dyDescent="0.2">
      <c r="A63" s="69">
        <f t="shared" si="5"/>
        <v>54</v>
      </c>
      <c r="B63" s="57" t="str">
        <f>IF('Setup &amp; Summary'!$N$21&gt;A63,A!B62+1,"")</f>
        <v/>
      </c>
      <c r="C63" s="71"/>
      <c r="D63" s="72"/>
      <c r="E63" s="72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68" t="str">
        <f>IF(B63="","",IF(B63*2='Setup &amp; Summary'!$N$21,-H63,IF(B!B63*2&lt;'Setup &amp; Summary'!$N$21,B!I64+B!$N$5,B!I62-B!$N$5)))</f>
        <v/>
      </c>
      <c r="J63" s="22" t="str">
        <f t="shared" si="0"/>
        <v/>
      </c>
      <c r="K63" s="23" t="str">
        <f t="shared" si="1"/>
        <v/>
      </c>
      <c r="M63" s="60" t="str">
        <f>IF(B63="","",IF(B63*2='Setup &amp; Summary'!$N$21,"midstation row!",""))</f>
        <v/>
      </c>
    </row>
    <row r="64" spans="1:13" x14ac:dyDescent="0.2">
      <c r="A64" s="69">
        <f t="shared" si="5"/>
        <v>55</v>
      </c>
      <c r="B64" s="57" t="str">
        <f>IF('Setup &amp; Summary'!$N$21&gt;A64,A!B63+1,"")</f>
        <v/>
      </c>
      <c r="C64" s="71"/>
      <c r="D64" s="72"/>
      <c r="E64" s="72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68" t="str">
        <f>IF(B64="","",IF(B64*2='Setup &amp; Summary'!$N$21,-H64,IF(B!B64*2&lt;'Setup &amp; Summary'!$N$21,B!I65+B!$N$5,B!I63-B!$N$5)))</f>
        <v/>
      </c>
      <c r="J64" s="22" t="str">
        <f t="shared" si="0"/>
        <v/>
      </c>
      <c r="K64" s="23" t="str">
        <f t="shared" si="1"/>
        <v/>
      </c>
      <c r="M64" s="60" t="str">
        <f>IF(B64="","",IF(B64*2='Setup &amp; Summary'!$N$21,"midstation row!",""))</f>
        <v/>
      </c>
    </row>
    <row r="65" spans="1:13" x14ac:dyDescent="0.2">
      <c r="A65" s="69">
        <f t="shared" si="5"/>
        <v>56</v>
      </c>
      <c r="B65" s="57" t="str">
        <f>IF('Setup &amp; Summary'!$N$21&gt;A65,A!B64+1,"")</f>
        <v/>
      </c>
      <c r="C65" s="71"/>
      <c r="D65" s="72"/>
      <c r="E65" s="72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68" t="str">
        <f>IF(B65="","",IF(B65*2='Setup &amp; Summary'!$N$21,-H65,IF(B!B65*2&lt;'Setup &amp; Summary'!$N$21,B!I66+B!$N$5,B!I64-B!$N$5)))</f>
        <v/>
      </c>
      <c r="J65" s="22" t="str">
        <f t="shared" si="0"/>
        <v/>
      </c>
      <c r="K65" s="23" t="str">
        <f t="shared" si="1"/>
        <v/>
      </c>
      <c r="M65" s="60" t="str">
        <f>IF(B65="","",IF(B65*2='Setup &amp; Summary'!$N$21,"midstation row!",""))</f>
        <v/>
      </c>
    </row>
    <row r="66" spans="1:13" x14ac:dyDescent="0.2">
      <c r="A66" s="69">
        <f t="shared" si="5"/>
        <v>57</v>
      </c>
      <c r="B66" s="57" t="str">
        <f>IF('Setup &amp; Summary'!$N$21&gt;A66,A!B65+1,"")</f>
        <v/>
      </c>
      <c r="C66" s="71"/>
      <c r="D66" s="72"/>
      <c r="E66" s="72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68" t="str">
        <f>IF(B66="","",IF(B66*2='Setup &amp; Summary'!$N$21,-H66,IF(B!B66*2&lt;'Setup &amp; Summary'!$N$21,B!I67+B!$N$5,B!I65-B!$N$5)))</f>
        <v/>
      </c>
      <c r="J66" s="22" t="str">
        <f t="shared" si="0"/>
        <v/>
      </c>
      <c r="K66" s="23" t="str">
        <f t="shared" si="1"/>
        <v/>
      </c>
      <c r="M66" s="60" t="str">
        <f>IF(B66="","",IF(B66*2='Setup &amp; Summary'!$N$21,"midstation row!",""))</f>
        <v/>
      </c>
    </row>
    <row r="67" spans="1:13" x14ac:dyDescent="0.2">
      <c r="A67" s="69">
        <f t="shared" si="5"/>
        <v>58</v>
      </c>
      <c r="B67" s="57" t="str">
        <f>IF('Setup &amp; Summary'!$N$21&gt;A67,A!B66+1,"")</f>
        <v/>
      </c>
      <c r="C67" s="71"/>
      <c r="D67" s="72"/>
      <c r="E67" s="72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68" t="str">
        <f>IF(B67="","",IF(B67*2='Setup &amp; Summary'!$N$21,-H67,IF(B!B67*2&lt;'Setup &amp; Summary'!$N$21,B!I68+B!$N$5,B!I66-B!$N$5)))</f>
        <v/>
      </c>
      <c r="J67" s="22" t="str">
        <f t="shared" si="0"/>
        <v/>
      </c>
      <c r="K67" s="23" t="str">
        <f t="shared" si="1"/>
        <v/>
      </c>
      <c r="M67" s="60" t="str">
        <f>IF(B67="","",IF(B67*2='Setup &amp; Summary'!$N$21,"midstation row!",""))</f>
        <v/>
      </c>
    </row>
    <row r="68" spans="1:13" x14ac:dyDescent="0.2">
      <c r="A68" s="69">
        <f t="shared" si="5"/>
        <v>59</v>
      </c>
      <c r="B68" s="57" t="str">
        <f>IF('Setup &amp; Summary'!$N$21&gt;A68,A!B67+1,"")</f>
        <v/>
      </c>
      <c r="C68" s="71"/>
      <c r="D68" s="72"/>
      <c r="E68" s="72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68" t="str">
        <f>IF(B68="","",IF(B68*2='Setup &amp; Summary'!$N$21,-H68,IF(B!B68*2&lt;'Setup &amp; Summary'!$N$21,B!I69+B!$N$5,B!I67-B!$N$5)))</f>
        <v/>
      </c>
      <c r="J68" s="22" t="str">
        <f t="shared" si="0"/>
        <v/>
      </c>
      <c r="K68" s="23" t="str">
        <f t="shared" si="1"/>
        <v/>
      </c>
      <c r="M68" s="60" t="str">
        <f>IF(B68="","",IF(B68*2='Setup &amp; Summary'!$N$21,"midstation row!",""))</f>
        <v/>
      </c>
    </row>
    <row r="69" spans="1:13" x14ac:dyDescent="0.2">
      <c r="A69" s="69">
        <f t="shared" si="5"/>
        <v>60</v>
      </c>
      <c r="B69" s="57" t="str">
        <f>IF('Setup &amp; Summary'!$N$21&gt;A69,A!B68+1,"")</f>
        <v/>
      </c>
      <c r="C69" s="71"/>
      <c r="D69" s="72"/>
      <c r="E69" s="72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68" t="str">
        <f>IF(B69="","",IF(B69*2='Setup &amp; Summary'!$N$21,-H69,IF(B!B69*2&lt;'Setup &amp; Summary'!$N$21,B!I70+B!$N$5,B!I68-B!$N$5)))</f>
        <v/>
      </c>
      <c r="J69" s="22" t="str">
        <f t="shared" si="0"/>
        <v/>
      </c>
      <c r="K69" s="23" t="str">
        <f t="shared" si="1"/>
        <v/>
      </c>
      <c r="M69" s="60" t="str">
        <f>IF(B69="","",IF(B69*2='Setup &amp; Summary'!$N$21,"midstation row!",""))</f>
        <v/>
      </c>
    </row>
    <row r="70" spans="1:13" x14ac:dyDescent="0.2">
      <c r="A70" s="69">
        <f t="shared" si="5"/>
        <v>61</v>
      </c>
      <c r="B70" s="57" t="str">
        <f>IF('Setup &amp; Summary'!$N$21&gt;A70,A!B69+1,"")</f>
        <v/>
      </c>
      <c r="C70" s="71"/>
      <c r="D70" s="72"/>
      <c r="E70" s="72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68" t="str">
        <f>IF(B70="","",IF(B70*2='Setup &amp; Summary'!$N$21,-H70,IF(B!B70*2&lt;'Setup &amp; Summary'!$N$21,B!I71+B!$N$5,B!I69-B!$N$5)))</f>
        <v/>
      </c>
      <c r="J70" s="22" t="str">
        <f t="shared" si="0"/>
        <v/>
      </c>
      <c r="K70" s="23" t="str">
        <f t="shared" si="1"/>
        <v/>
      </c>
      <c r="M70" s="60" t="str">
        <f>IF(B70="","",IF(B70*2='Setup &amp; Summary'!$N$21,"midstation row!",""))</f>
        <v/>
      </c>
    </row>
    <row r="71" spans="1:13" x14ac:dyDescent="0.2">
      <c r="A71" s="69">
        <f t="shared" si="5"/>
        <v>62</v>
      </c>
      <c r="B71" s="57" t="str">
        <f>IF('Setup &amp; Summary'!$N$21&gt;A71,A!B70+1,"")</f>
        <v/>
      </c>
      <c r="C71" s="71"/>
      <c r="D71" s="72"/>
      <c r="E71" s="72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68" t="str">
        <f>IF(B71="","",IF(B71*2='Setup &amp; Summary'!$N$21,-H71,IF(B!B71*2&lt;'Setup &amp; Summary'!$N$21,B!I72+B!$N$5,B!I70-B!$N$5)))</f>
        <v/>
      </c>
      <c r="J71" s="22" t="str">
        <f t="shared" si="0"/>
        <v/>
      </c>
      <c r="K71" s="23" t="str">
        <f t="shared" si="1"/>
        <v/>
      </c>
      <c r="M71" s="60" t="str">
        <f>IF(B71="","",IF(B71*2='Setup &amp; Summary'!$N$21,"midstation row!",""))</f>
        <v/>
      </c>
    </row>
    <row r="72" spans="1:13" x14ac:dyDescent="0.2">
      <c r="A72" s="69">
        <f t="shared" si="5"/>
        <v>63</v>
      </c>
      <c r="B72" s="57" t="str">
        <f>IF('Setup &amp; Summary'!$N$21&gt;A72,A!B71+1,"")</f>
        <v/>
      </c>
      <c r="C72" s="71"/>
      <c r="D72" s="72"/>
      <c r="E72" s="72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68" t="str">
        <f>IF(B72="","",IF(B72*2='Setup &amp; Summary'!$N$21,-H72,IF(B!B72*2&lt;'Setup &amp; Summary'!$N$21,B!I73+B!$N$5,B!I71-B!$N$5)))</f>
        <v/>
      </c>
      <c r="J72" s="22" t="str">
        <f t="shared" si="0"/>
        <v/>
      </c>
      <c r="K72" s="23" t="str">
        <f t="shared" si="1"/>
        <v/>
      </c>
      <c r="M72" s="60" t="str">
        <f>IF(B72="","",IF(B72*2='Setup &amp; Summary'!$N$21,"midstation row!",""))</f>
        <v/>
      </c>
    </row>
    <row r="73" spans="1:13" x14ac:dyDescent="0.2">
      <c r="A73" s="69">
        <f t="shared" si="5"/>
        <v>64</v>
      </c>
      <c r="B73" s="57" t="str">
        <f>IF('Setup &amp; Summary'!$N$21&gt;A73,A!B72+1,"")</f>
        <v/>
      </c>
      <c r="C73" s="71"/>
      <c r="D73" s="72"/>
      <c r="E73" s="72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68" t="str">
        <f>IF(B73="","",IF(B73*2='Setup &amp; Summary'!$N$21,-H73,IF(B!B73*2&lt;'Setup &amp; Summary'!$N$21,B!I74+B!$N$5,B!I72-B!$N$5)))</f>
        <v/>
      </c>
      <c r="J73" s="22" t="str">
        <f t="shared" ref="J73:J108" si="6">IF(B73="","",I73+H73)</f>
        <v/>
      </c>
      <c r="K73" s="23" t="str">
        <f t="shared" ref="K73:K108" si="7">IF(B73="","",J73*$N$7)</f>
        <v/>
      </c>
      <c r="M73" s="60" t="str">
        <f>IF(B73="","",IF(B73*2='Setup &amp; Summary'!$N$21,"midstation row!",""))</f>
        <v/>
      </c>
    </row>
    <row r="74" spans="1:13" x14ac:dyDescent="0.2">
      <c r="A74" s="69">
        <f t="shared" si="5"/>
        <v>65</v>
      </c>
      <c r="B74" s="57" t="str">
        <f>IF('Setup &amp; Summary'!$N$21&gt;A74,A!B73+1,"")</f>
        <v/>
      </c>
      <c r="C74" s="71"/>
      <c r="D74" s="72"/>
      <c r="E74" s="72"/>
      <c r="F74" s="25" t="str">
        <f t="shared" ref="F74:F108" si="8">IF(B74="","",AVERAGE(C74:E74))</f>
        <v/>
      </c>
      <c r="G74" s="21" t="str">
        <f t="shared" ref="G74:G108" si="9">IF(B74="","",F74-$F$9)</f>
        <v/>
      </c>
      <c r="H74" s="25" t="str">
        <f t="shared" ref="H74:H108" si="10">IF(B74="","",H73+G74)</f>
        <v/>
      </c>
      <c r="I74" s="68" t="str">
        <f>IF(B74="","",IF(B74*2='Setup &amp; Summary'!$N$21,-H74,IF(B!B74*2&lt;'Setup &amp; Summary'!$N$21,B!I75+B!$N$5,B!I73-B!$N$5)))</f>
        <v/>
      </c>
      <c r="J74" s="22" t="str">
        <f t="shared" si="6"/>
        <v/>
      </c>
      <c r="K74" s="23" t="str">
        <f t="shared" si="7"/>
        <v/>
      </c>
      <c r="M74" s="60" t="str">
        <f>IF(B74="","",IF(B74*2='Setup &amp; Summary'!$N$21,"midstation row!",""))</f>
        <v/>
      </c>
    </row>
    <row r="75" spans="1:13" x14ac:dyDescent="0.2">
      <c r="A75" s="69">
        <f t="shared" si="5"/>
        <v>66</v>
      </c>
      <c r="B75" s="57" t="str">
        <f>IF('Setup &amp; Summary'!$N$21&gt;A75,A!B74+1,"")</f>
        <v/>
      </c>
      <c r="C75" s="71"/>
      <c r="D75" s="72"/>
      <c r="E75" s="72"/>
      <c r="F75" s="25" t="str">
        <f t="shared" si="8"/>
        <v/>
      </c>
      <c r="G75" s="21" t="str">
        <f t="shared" si="9"/>
        <v/>
      </c>
      <c r="H75" s="25" t="str">
        <f t="shared" si="10"/>
        <v/>
      </c>
      <c r="I75" s="68" t="str">
        <f>IF(B75="","",IF(B75*2='Setup &amp; Summary'!$N$21,-H75,IF(B!B75*2&lt;'Setup &amp; Summary'!$N$21,B!I76+B!$N$5,B!I74-B!$N$5)))</f>
        <v/>
      </c>
      <c r="J75" s="22" t="str">
        <f t="shared" si="6"/>
        <v/>
      </c>
      <c r="K75" s="23" t="str">
        <f t="shared" si="7"/>
        <v/>
      </c>
      <c r="M75" s="60" t="str">
        <f>IF(B75="","",IF(B75*2='Setup &amp; Summary'!$N$21,"midstation row!",""))</f>
        <v/>
      </c>
    </row>
    <row r="76" spans="1:13" x14ac:dyDescent="0.2">
      <c r="A76" s="69">
        <f t="shared" ref="A76:A108" si="11">A75+1</f>
        <v>67</v>
      </c>
      <c r="B76" s="57" t="str">
        <f>IF('Setup &amp; Summary'!$N$21&gt;A76,A!B75+1,"")</f>
        <v/>
      </c>
      <c r="C76" s="71"/>
      <c r="D76" s="72"/>
      <c r="E76" s="72"/>
      <c r="F76" s="25" t="str">
        <f t="shared" si="8"/>
        <v/>
      </c>
      <c r="G76" s="21" t="str">
        <f t="shared" si="9"/>
        <v/>
      </c>
      <c r="H76" s="25" t="str">
        <f t="shared" si="10"/>
        <v/>
      </c>
      <c r="I76" s="68" t="str">
        <f>IF(B76="","",IF(B76*2='Setup &amp; Summary'!$N$21,-H76,IF(B!B76*2&lt;'Setup &amp; Summary'!$N$21,B!I77+B!$N$5,B!I75-B!$N$5)))</f>
        <v/>
      </c>
      <c r="J76" s="22" t="str">
        <f t="shared" si="6"/>
        <v/>
      </c>
      <c r="K76" s="23" t="str">
        <f t="shared" si="7"/>
        <v/>
      </c>
      <c r="M76" s="60" t="str">
        <f>IF(B76="","",IF(B76*2='Setup &amp; Summary'!$N$21,"midstation row!",""))</f>
        <v/>
      </c>
    </row>
    <row r="77" spans="1:13" x14ac:dyDescent="0.2">
      <c r="A77" s="69">
        <f t="shared" si="11"/>
        <v>68</v>
      </c>
      <c r="B77" s="57" t="str">
        <f>IF('Setup &amp; Summary'!$N$21&gt;A77,A!B76+1,"")</f>
        <v/>
      </c>
      <c r="C77" s="71"/>
      <c r="D77" s="72"/>
      <c r="E77" s="72"/>
      <c r="F77" s="25" t="str">
        <f t="shared" si="8"/>
        <v/>
      </c>
      <c r="G77" s="21" t="str">
        <f t="shared" si="9"/>
        <v/>
      </c>
      <c r="H77" s="25" t="str">
        <f t="shared" si="10"/>
        <v/>
      </c>
      <c r="I77" s="68" t="str">
        <f>IF(B77="","",IF(B77*2='Setup &amp; Summary'!$N$21,-H77,IF(B!B77*2&lt;'Setup &amp; Summary'!$N$21,B!I78+B!$N$5,B!I76-B!$N$5)))</f>
        <v/>
      </c>
      <c r="J77" s="22" t="str">
        <f t="shared" si="6"/>
        <v/>
      </c>
      <c r="K77" s="23" t="str">
        <f t="shared" si="7"/>
        <v/>
      </c>
      <c r="M77" s="60" t="str">
        <f>IF(B77="","",IF(B77*2='Setup &amp; Summary'!$N$21,"midstation row!",""))</f>
        <v/>
      </c>
    </row>
    <row r="78" spans="1:13" x14ac:dyDescent="0.2">
      <c r="A78" s="69">
        <f t="shared" si="11"/>
        <v>69</v>
      </c>
      <c r="B78" s="57" t="str">
        <f>IF('Setup &amp; Summary'!$N$21&gt;A78,A!B77+1,"")</f>
        <v/>
      </c>
      <c r="C78" s="71"/>
      <c r="D78" s="72"/>
      <c r="E78" s="72"/>
      <c r="F78" s="25" t="str">
        <f t="shared" si="8"/>
        <v/>
      </c>
      <c r="G78" s="21" t="str">
        <f t="shared" si="9"/>
        <v/>
      </c>
      <c r="H78" s="25" t="str">
        <f t="shared" si="10"/>
        <v/>
      </c>
      <c r="I78" s="68" t="str">
        <f>IF(B78="","",IF(B78*2='Setup &amp; Summary'!$N$21,-H78,IF(B!B78*2&lt;'Setup &amp; Summary'!$N$21,B!I79+B!$N$5,B!I77-B!$N$5)))</f>
        <v/>
      </c>
      <c r="J78" s="22" t="str">
        <f t="shared" si="6"/>
        <v/>
      </c>
      <c r="K78" s="23" t="str">
        <f t="shared" si="7"/>
        <v/>
      </c>
      <c r="M78" s="60" t="str">
        <f>IF(B78="","",IF(B78*2='Setup &amp; Summary'!$N$21,"midstation row!",""))</f>
        <v/>
      </c>
    </row>
    <row r="79" spans="1:13" x14ac:dyDescent="0.2">
      <c r="A79" s="69">
        <f t="shared" si="11"/>
        <v>70</v>
      </c>
      <c r="B79" s="57" t="str">
        <f>IF('Setup &amp; Summary'!$N$21&gt;A79,A!B78+1,"")</f>
        <v/>
      </c>
      <c r="C79" s="71"/>
      <c r="D79" s="72"/>
      <c r="E79" s="72"/>
      <c r="F79" s="25" t="str">
        <f t="shared" si="8"/>
        <v/>
      </c>
      <c r="G79" s="21" t="str">
        <f t="shared" si="9"/>
        <v/>
      </c>
      <c r="H79" s="25" t="str">
        <f t="shared" si="10"/>
        <v/>
      </c>
      <c r="I79" s="68" t="str">
        <f>IF(B79="","",IF(B79*2='Setup &amp; Summary'!$N$21,-H79,IF(B!B79*2&lt;'Setup &amp; Summary'!$N$21,B!I80+B!$N$5,B!I78-B!$N$5)))</f>
        <v/>
      </c>
      <c r="J79" s="22" t="str">
        <f t="shared" si="6"/>
        <v/>
      </c>
      <c r="K79" s="23" t="str">
        <f t="shared" si="7"/>
        <v/>
      </c>
      <c r="M79" s="60" t="str">
        <f>IF(B79="","",IF(B79*2='Setup &amp; Summary'!$N$21,"midstation row!",""))</f>
        <v/>
      </c>
    </row>
    <row r="80" spans="1:13" x14ac:dyDescent="0.2">
      <c r="A80" s="69">
        <f t="shared" si="11"/>
        <v>71</v>
      </c>
      <c r="B80" s="57" t="str">
        <f>IF('Setup &amp; Summary'!$N$21&gt;A80,A!B79+1,"")</f>
        <v/>
      </c>
      <c r="C80" s="71"/>
      <c r="D80" s="72"/>
      <c r="E80" s="72"/>
      <c r="F80" s="25" t="str">
        <f t="shared" si="8"/>
        <v/>
      </c>
      <c r="G80" s="21" t="str">
        <f t="shared" si="9"/>
        <v/>
      </c>
      <c r="H80" s="25" t="str">
        <f t="shared" si="10"/>
        <v/>
      </c>
      <c r="I80" s="68" t="str">
        <f>IF(B80="","",IF(B80*2='Setup &amp; Summary'!$N$21,-H80,IF(B!B80*2&lt;'Setup &amp; Summary'!$N$21,B!I81+B!$N$5,B!I79-B!$N$5)))</f>
        <v/>
      </c>
      <c r="J80" s="22" t="str">
        <f t="shared" si="6"/>
        <v/>
      </c>
      <c r="K80" s="23" t="str">
        <f t="shared" si="7"/>
        <v/>
      </c>
      <c r="M80" s="60" t="str">
        <f>IF(B80="","",IF(B80*2='Setup &amp; Summary'!$N$21,"midstation row!",""))</f>
        <v/>
      </c>
    </row>
    <row r="81" spans="1:13" x14ac:dyDescent="0.2">
      <c r="A81" s="69">
        <f t="shared" si="11"/>
        <v>72</v>
      </c>
      <c r="B81" s="57" t="str">
        <f>IF('Setup &amp; Summary'!$N$21&gt;A81,A!B80+1,"")</f>
        <v/>
      </c>
      <c r="C81" s="71"/>
      <c r="D81" s="72"/>
      <c r="E81" s="72"/>
      <c r="F81" s="25" t="str">
        <f t="shared" si="8"/>
        <v/>
      </c>
      <c r="G81" s="21" t="str">
        <f t="shared" si="9"/>
        <v/>
      </c>
      <c r="H81" s="25" t="str">
        <f t="shared" si="10"/>
        <v/>
      </c>
      <c r="I81" s="68" t="str">
        <f>IF(B81="","",IF(B81*2='Setup &amp; Summary'!$N$21,-H81,IF(B!B81*2&lt;'Setup &amp; Summary'!$N$21,B!I82+B!$N$5,B!I80-B!$N$5)))</f>
        <v/>
      </c>
      <c r="J81" s="22" t="str">
        <f t="shared" si="6"/>
        <v/>
      </c>
      <c r="K81" s="23" t="str">
        <f t="shared" si="7"/>
        <v/>
      </c>
      <c r="M81" s="60" t="str">
        <f>IF(B81="","",IF(B81*2='Setup &amp; Summary'!$N$21,"midstation row!",""))</f>
        <v/>
      </c>
    </row>
    <row r="82" spans="1:13" x14ac:dyDescent="0.2">
      <c r="A82" s="69">
        <f t="shared" si="11"/>
        <v>73</v>
      </c>
      <c r="B82" s="57" t="str">
        <f>IF('Setup &amp; Summary'!$N$21&gt;A82,A!B81+1,"")</f>
        <v/>
      </c>
      <c r="C82" s="71"/>
      <c r="D82" s="72"/>
      <c r="E82" s="72"/>
      <c r="F82" s="25" t="str">
        <f t="shared" si="8"/>
        <v/>
      </c>
      <c r="G82" s="21" t="str">
        <f t="shared" si="9"/>
        <v/>
      </c>
      <c r="H82" s="25" t="str">
        <f t="shared" si="10"/>
        <v/>
      </c>
      <c r="I82" s="68" t="str">
        <f>IF(B82="","",IF(B82*2='Setup &amp; Summary'!$N$21,-H82,IF(B!B82*2&lt;'Setup &amp; Summary'!$N$21,B!I83+B!$N$5,B!I81-B!$N$5)))</f>
        <v/>
      </c>
      <c r="J82" s="22" t="str">
        <f t="shared" si="6"/>
        <v/>
      </c>
      <c r="K82" s="23" t="str">
        <f t="shared" si="7"/>
        <v/>
      </c>
      <c r="M82" s="60" t="str">
        <f>IF(B82="","",IF(B82*2='Setup &amp; Summary'!$N$21,"midstation row!",""))</f>
        <v/>
      </c>
    </row>
    <row r="83" spans="1:13" x14ac:dyDescent="0.2">
      <c r="A83" s="69">
        <f t="shared" si="11"/>
        <v>74</v>
      </c>
      <c r="B83" s="57" t="str">
        <f>IF('Setup &amp; Summary'!$N$21&gt;A83,A!B82+1,"")</f>
        <v/>
      </c>
      <c r="C83" s="71"/>
      <c r="D83" s="72"/>
      <c r="E83" s="72"/>
      <c r="F83" s="25" t="str">
        <f t="shared" si="8"/>
        <v/>
      </c>
      <c r="G83" s="21" t="str">
        <f t="shared" si="9"/>
        <v/>
      </c>
      <c r="H83" s="25" t="str">
        <f t="shared" si="10"/>
        <v/>
      </c>
      <c r="I83" s="68" t="str">
        <f>IF(B83="","",IF(B83*2='Setup &amp; Summary'!$N$21,-H83,IF(B!B83*2&lt;'Setup &amp; Summary'!$N$21,B!I84+B!$N$5,B!I82-B!$N$5)))</f>
        <v/>
      </c>
      <c r="J83" s="22" t="str">
        <f t="shared" si="6"/>
        <v/>
      </c>
      <c r="K83" s="23" t="str">
        <f t="shared" si="7"/>
        <v/>
      </c>
      <c r="M83" s="60" t="str">
        <f>IF(B83="","",IF(B83*2='Setup &amp; Summary'!$N$21,"midstation row!",""))</f>
        <v/>
      </c>
    </row>
    <row r="84" spans="1:13" x14ac:dyDescent="0.2">
      <c r="A84" s="69">
        <f t="shared" si="11"/>
        <v>75</v>
      </c>
      <c r="B84" s="57" t="str">
        <f>IF('Setup &amp; Summary'!$N$21&gt;A84,A!B83+1,"")</f>
        <v/>
      </c>
      <c r="C84" s="71"/>
      <c r="D84" s="72"/>
      <c r="E84" s="72"/>
      <c r="F84" s="25" t="str">
        <f t="shared" si="8"/>
        <v/>
      </c>
      <c r="G84" s="21" t="str">
        <f t="shared" si="9"/>
        <v/>
      </c>
      <c r="H84" s="25" t="str">
        <f t="shared" si="10"/>
        <v/>
      </c>
      <c r="I84" s="68" t="str">
        <f>IF(B84="","",IF(B84*2='Setup &amp; Summary'!$N$21,-H84,IF(B!B84*2&lt;'Setup &amp; Summary'!$N$21,B!I85+B!$N$5,B!I83-B!$N$5)))</f>
        <v/>
      </c>
      <c r="J84" s="22" t="str">
        <f t="shared" si="6"/>
        <v/>
      </c>
      <c r="K84" s="23" t="str">
        <f t="shared" si="7"/>
        <v/>
      </c>
      <c r="M84" s="60" t="str">
        <f>IF(B84="","",IF(B84*2='Setup &amp; Summary'!$N$21,"midstation row!",""))</f>
        <v/>
      </c>
    </row>
    <row r="85" spans="1:13" x14ac:dyDescent="0.2">
      <c r="A85" s="69">
        <f t="shared" si="11"/>
        <v>76</v>
      </c>
      <c r="B85" s="57" t="str">
        <f>IF('Setup &amp; Summary'!$N$21&gt;A85,A!B84+1,"")</f>
        <v/>
      </c>
      <c r="C85" s="71"/>
      <c r="D85" s="72"/>
      <c r="E85" s="72"/>
      <c r="F85" s="25" t="str">
        <f t="shared" si="8"/>
        <v/>
      </c>
      <c r="G85" s="21" t="str">
        <f t="shared" si="9"/>
        <v/>
      </c>
      <c r="H85" s="25" t="str">
        <f t="shared" si="10"/>
        <v/>
      </c>
      <c r="I85" s="68" t="str">
        <f>IF(B85="","",IF(B85*2='Setup &amp; Summary'!$N$21,-H85,IF(B!B85*2&lt;'Setup &amp; Summary'!$N$21,B!I86+B!$N$5,B!I84-B!$N$5)))</f>
        <v/>
      </c>
      <c r="J85" s="22" t="str">
        <f t="shared" si="6"/>
        <v/>
      </c>
      <c r="K85" s="23" t="str">
        <f t="shared" si="7"/>
        <v/>
      </c>
      <c r="M85" s="60" t="str">
        <f>IF(B85="","",IF(B85*2='Setup &amp; Summary'!$N$21,"midstation row!",""))</f>
        <v/>
      </c>
    </row>
    <row r="86" spans="1:13" x14ac:dyDescent="0.2">
      <c r="A86" s="69">
        <f t="shared" si="11"/>
        <v>77</v>
      </c>
      <c r="B86" s="57" t="str">
        <f>IF('Setup &amp; Summary'!$N$21&gt;A86,A!B85+1,"")</f>
        <v/>
      </c>
      <c r="C86" s="71"/>
      <c r="D86" s="72"/>
      <c r="E86" s="72"/>
      <c r="F86" s="25" t="str">
        <f t="shared" si="8"/>
        <v/>
      </c>
      <c r="G86" s="21" t="str">
        <f t="shared" si="9"/>
        <v/>
      </c>
      <c r="H86" s="25" t="str">
        <f t="shared" si="10"/>
        <v/>
      </c>
      <c r="I86" s="68" t="str">
        <f>IF(B86="","",IF(B86*2='Setup &amp; Summary'!$N$21,-H86,IF(B!B86*2&lt;'Setup &amp; Summary'!$N$21,B!I87+B!$N$5,B!I85-B!$N$5)))</f>
        <v/>
      </c>
      <c r="J86" s="22" t="str">
        <f t="shared" si="6"/>
        <v/>
      </c>
      <c r="K86" s="23" t="str">
        <f t="shared" si="7"/>
        <v/>
      </c>
      <c r="M86" s="60" t="str">
        <f>IF(B86="","",IF(B86*2='Setup &amp; Summary'!$N$21,"midstation row!",""))</f>
        <v/>
      </c>
    </row>
    <row r="87" spans="1:13" x14ac:dyDescent="0.2">
      <c r="A87" s="69">
        <f t="shared" si="11"/>
        <v>78</v>
      </c>
      <c r="B87" s="57" t="str">
        <f>IF('Setup &amp; Summary'!$N$21&gt;A87,A!B86+1,"")</f>
        <v/>
      </c>
      <c r="C87" s="71"/>
      <c r="D87" s="72"/>
      <c r="E87" s="72"/>
      <c r="F87" s="25" t="str">
        <f t="shared" si="8"/>
        <v/>
      </c>
      <c r="G87" s="21" t="str">
        <f t="shared" si="9"/>
        <v/>
      </c>
      <c r="H87" s="25" t="str">
        <f t="shared" si="10"/>
        <v/>
      </c>
      <c r="I87" s="68" t="str">
        <f>IF(B87="","",IF(B87*2='Setup &amp; Summary'!$N$21,-H87,IF(B!B87*2&lt;'Setup &amp; Summary'!$N$21,B!I88+B!$N$5,B!I86-B!$N$5)))</f>
        <v/>
      </c>
      <c r="J87" s="22" t="str">
        <f t="shared" si="6"/>
        <v/>
      </c>
      <c r="K87" s="23" t="str">
        <f t="shared" si="7"/>
        <v/>
      </c>
      <c r="M87" s="60" t="str">
        <f>IF(B87="","",IF(B87*2='Setup &amp; Summary'!$N$21,"midstation row!",""))</f>
        <v/>
      </c>
    </row>
    <row r="88" spans="1:13" x14ac:dyDescent="0.2">
      <c r="A88" s="69">
        <f t="shared" si="11"/>
        <v>79</v>
      </c>
      <c r="B88" s="57" t="str">
        <f>IF('Setup &amp; Summary'!$N$21&gt;A88,A!B87+1,"")</f>
        <v/>
      </c>
      <c r="C88" s="71"/>
      <c r="D88" s="72"/>
      <c r="E88" s="72"/>
      <c r="F88" s="25" t="str">
        <f t="shared" si="8"/>
        <v/>
      </c>
      <c r="G88" s="21" t="str">
        <f t="shared" si="9"/>
        <v/>
      </c>
      <c r="H88" s="25" t="str">
        <f t="shared" si="10"/>
        <v/>
      </c>
      <c r="I88" s="68" t="str">
        <f>IF(B88="","",IF(B88*2='Setup &amp; Summary'!$N$21,-H88,IF(B!B88*2&lt;'Setup &amp; Summary'!$N$21,B!I89+B!$N$5,B!I87-B!$N$5)))</f>
        <v/>
      </c>
      <c r="J88" s="22" t="str">
        <f t="shared" si="6"/>
        <v/>
      </c>
      <c r="K88" s="23" t="str">
        <f t="shared" si="7"/>
        <v/>
      </c>
      <c r="M88" s="60" t="str">
        <f>IF(B88="","",IF(B88*2='Setup &amp; Summary'!$N$21,"midstation row!",""))</f>
        <v/>
      </c>
    </row>
    <row r="89" spans="1:13" x14ac:dyDescent="0.2">
      <c r="A89" s="69">
        <f t="shared" si="11"/>
        <v>80</v>
      </c>
      <c r="B89" s="57" t="str">
        <f>IF('Setup &amp; Summary'!$N$21&gt;A89,A!B88+1,"")</f>
        <v/>
      </c>
      <c r="C89" s="71"/>
      <c r="D89" s="72"/>
      <c r="E89" s="72"/>
      <c r="F89" s="25" t="str">
        <f t="shared" si="8"/>
        <v/>
      </c>
      <c r="G89" s="21" t="str">
        <f t="shared" si="9"/>
        <v/>
      </c>
      <c r="H89" s="25" t="str">
        <f t="shared" si="10"/>
        <v/>
      </c>
      <c r="I89" s="68" t="str">
        <f>IF(B89="","",IF(B89*2='Setup &amp; Summary'!$N$21,-H89,IF(B!B89*2&lt;'Setup &amp; Summary'!$N$21,B!I90+B!$N$5,B!I88-B!$N$5)))</f>
        <v/>
      </c>
      <c r="J89" s="22" t="str">
        <f t="shared" si="6"/>
        <v/>
      </c>
      <c r="K89" s="23" t="str">
        <f t="shared" si="7"/>
        <v/>
      </c>
      <c r="M89" s="60" t="str">
        <f>IF(B89="","",IF(B89*2='Setup &amp; Summary'!$N$21,"midstation row!",""))</f>
        <v/>
      </c>
    </row>
    <row r="90" spans="1:13" x14ac:dyDescent="0.2">
      <c r="A90" s="69">
        <f t="shared" si="11"/>
        <v>81</v>
      </c>
      <c r="B90" s="57" t="str">
        <f>IF('Setup &amp; Summary'!$N$21&gt;A90,A!B89+1,"")</f>
        <v/>
      </c>
      <c r="C90" s="71"/>
      <c r="D90" s="72"/>
      <c r="E90" s="72"/>
      <c r="F90" s="25" t="str">
        <f t="shared" si="8"/>
        <v/>
      </c>
      <c r="G90" s="21" t="str">
        <f t="shared" si="9"/>
        <v/>
      </c>
      <c r="H90" s="25" t="str">
        <f t="shared" si="10"/>
        <v/>
      </c>
      <c r="I90" s="68" t="str">
        <f>IF(B90="","",IF(B90*2='Setup &amp; Summary'!$N$21,-H90,IF(B!B90*2&lt;'Setup &amp; Summary'!$N$21,B!I91+B!$N$5,B!I89-B!$N$5)))</f>
        <v/>
      </c>
      <c r="J90" s="22" t="str">
        <f t="shared" si="6"/>
        <v/>
      </c>
      <c r="K90" s="23" t="str">
        <f t="shared" si="7"/>
        <v/>
      </c>
      <c r="M90" s="60" t="str">
        <f>IF(B90="","",IF(B90*2='Setup &amp; Summary'!$N$21,"midstation row!",""))</f>
        <v/>
      </c>
    </row>
    <row r="91" spans="1:13" x14ac:dyDescent="0.2">
      <c r="A91" s="69">
        <f t="shared" si="11"/>
        <v>82</v>
      </c>
      <c r="B91" s="57" t="str">
        <f>IF('Setup &amp; Summary'!$N$21&gt;A91,A!B90+1,"")</f>
        <v/>
      </c>
      <c r="C91" s="71"/>
      <c r="D91" s="72"/>
      <c r="E91" s="72"/>
      <c r="F91" s="25" t="str">
        <f t="shared" si="8"/>
        <v/>
      </c>
      <c r="G91" s="21" t="str">
        <f t="shared" si="9"/>
        <v/>
      </c>
      <c r="H91" s="25" t="str">
        <f t="shared" si="10"/>
        <v/>
      </c>
      <c r="I91" s="68" t="str">
        <f>IF(B91="","",IF(B91*2='Setup &amp; Summary'!$N$21,-H91,IF(B!B91*2&lt;'Setup &amp; Summary'!$N$21,B!I92+B!$N$5,B!I90-B!$N$5)))</f>
        <v/>
      </c>
      <c r="J91" s="22" t="str">
        <f t="shared" si="6"/>
        <v/>
      </c>
      <c r="K91" s="23" t="str">
        <f t="shared" si="7"/>
        <v/>
      </c>
      <c r="M91" s="60" t="str">
        <f>IF(B91="","",IF(B91*2='Setup &amp; Summary'!$N$21,"midstation row!",""))</f>
        <v/>
      </c>
    </row>
    <row r="92" spans="1:13" x14ac:dyDescent="0.2">
      <c r="A92" s="69">
        <f t="shared" si="11"/>
        <v>83</v>
      </c>
      <c r="B92" s="57" t="str">
        <f>IF('Setup &amp; Summary'!$N$21&gt;A92,A!B91+1,"")</f>
        <v/>
      </c>
      <c r="C92" s="71"/>
      <c r="D92" s="72"/>
      <c r="E92" s="72"/>
      <c r="F92" s="25" t="str">
        <f t="shared" si="8"/>
        <v/>
      </c>
      <c r="G92" s="21" t="str">
        <f t="shared" si="9"/>
        <v/>
      </c>
      <c r="H92" s="25" t="str">
        <f t="shared" si="10"/>
        <v/>
      </c>
      <c r="I92" s="68" t="str">
        <f>IF(B92="","",IF(B92*2='Setup &amp; Summary'!$N$21,-H92,IF(B!B92*2&lt;'Setup &amp; Summary'!$N$21,B!I93+B!$N$5,B!I91-B!$N$5)))</f>
        <v/>
      </c>
      <c r="J92" s="22" t="str">
        <f t="shared" si="6"/>
        <v/>
      </c>
      <c r="K92" s="23" t="str">
        <f t="shared" si="7"/>
        <v/>
      </c>
      <c r="M92" s="60" t="str">
        <f>IF(B92="","",IF(B92*2='Setup &amp; Summary'!$N$21,"midstation row!",""))</f>
        <v/>
      </c>
    </row>
    <row r="93" spans="1:13" x14ac:dyDescent="0.2">
      <c r="A93" s="69">
        <f t="shared" si="11"/>
        <v>84</v>
      </c>
      <c r="B93" s="57" t="str">
        <f>IF('Setup &amp; Summary'!$N$21&gt;A93,A!B92+1,"")</f>
        <v/>
      </c>
      <c r="C93" s="71"/>
      <c r="D93" s="72"/>
      <c r="E93" s="72"/>
      <c r="F93" s="25" t="str">
        <f t="shared" si="8"/>
        <v/>
      </c>
      <c r="G93" s="21" t="str">
        <f t="shared" si="9"/>
        <v/>
      </c>
      <c r="H93" s="25" t="str">
        <f t="shared" si="10"/>
        <v/>
      </c>
      <c r="I93" s="68" t="str">
        <f>IF(B93="","",IF(B93*2='Setup &amp; Summary'!$N$21,-H93,IF(B!B93*2&lt;'Setup &amp; Summary'!$N$21,B!I94+B!$N$5,B!I92-B!$N$5)))</f>
        <v/>
      </c>
      <c r="J93" s="22" t="str">
        <f t="shared" si="6"/>
        <v/>
      </c>
      <c r="K93" s="23" t="str">
        <f t="shared" si="7"/>
        <v/>
      </c>
      <c r="M93" s="60" t="str">
        <f>IF(B93="","",IF(B93*2='Setup &amp; Summary'!$N$21,"midstation row!",""))</f>
        <v/>
      </c>
    </row>
    <row r="94" spans="1:13" x14ac:dyDescent="0.2">
      <c r="A94" s="69">
        <f t="shared" si="11"/>
        <v>85</v>
      </c>
      <c r="B94" s="57" t="str">
        <f>IF('Setup &amp; Summary'!$N$21&gt;A94,A!B93+1,"")</f>
        <v/>
      </c>
      <c r="C94" s="71"/>
      <c r="D94" s="72"/>
      <c r="E94" s="72"/>
      <c r="F94" s="25" t="str">
        <f t="shared" si="8"/>
        <v/>
      </c>
      <c r="G94" s="21" t="str">
        <f t="shared" si="9"/>
        <v/>
      </c>
      <c r="H94" s="25" t="str">
        <f t="shared" si="10"/>
        <v/>
      </c>
      <c r="I94" s="68" t="str">
        <f>IF(B94="","",IF(B94*2='Setup &amp; Summary'!$N$21,-H94,IF(B!B94*2&lt;'Setup &amp; Summary'!$N$21,B!I95+B!$N$5,B!I93-B!$N$5)))</f>
        <v/>
      </c>
      <c r="J94" s="22" t="str">
        <f t="shared" si="6"/>
        <v/>
      </c>
      <c r="K94" s="23" t="str">
        <f t="shared" si="7"/>
        <v/>
      </c>
      <c r="M94" s="60" t="str">
        <f>IF(B94="","",IF(B94*2='Setup &amp; Summary'!$N$21,"midstation row!",""))</f>
        <v/>
      </c>
    </row>
    <row r="95" spans="1:13" x14ac:dyDescent="0.2">
      <c r="A95" s="69">
        <f t="shared" si="11"/>
        <v>86</v>
      </c>
      <c r="B95" s="57" t="str">
        <f>IF('Setup &amp; Summary'!$N$21&gt;A95,A!B94+1,"")</f>
        <v/>
      </c>
      <c r="C95" s="71"/>
      <c r="D95" s="72"/>
      <c r="E95" s="72"/>
      <c r="F95" s="25" t="str">
        <f t="shared" si="8"/>
        <v/>
      </c>
      <c r="G95" s="21" t="str">
        <f t="shared" si="9"/>
        <v/>
      </c>
      <c r="H95" s="25" t="str">
        <f t="shared" si="10"/>
        <v/>
      </c>
      <c r="I95" s="68" t="str">
        <f>IF(B95="","",IF(B95*2='Setup &amp; Summary'!$N$21,-H95,IF(B!B95*2&lt;'Setup &amp; Summary'!$N$21,B!I96+B!$N$5,B!I94-B!$N$5)))</f>
        <v/>
      </c>
      <c r="J95" s="22" t="str">
        <f t="shared" si="6"/>
        <v/>
      </c>
      <c r="K95" s="23" t="str">
        <f t="shared" si="7"/>
        <v/>
      </c>
      <c r="M95" s="60" t="str">
        <f>IF(B95="","",IF(B95*2='Setup &amp; Summary'!$N$21,"midstation row!",""))</f>
        <v/>
      </c>
    </row>
    <row r="96" spans="1:13" x14ac:dyDescent="0.2">
      <c r="A96" s="69">
        <f t="shared" si="11"/>
        <v>87</v>
      </c>
      <c r="B96" s="57" t="str">
        <f>IF('Setup &amp; Summary'!$N$21&gt;A96,A!B95+1,"")</f>
        <v/>
      </c>
      <c r="C96" s="71"/>
      <c r="D96" s="72"/>
      <c r="E96" s="72"/>
      <c r="F96" s="25" t="str">
        <f t="shared" si="8"/>
        <v/>
      </c>
      <c r="G96" s="21" t="str">
        <f t="shared" si="9"/>
        <v/>
      </c>
      <c r="H96" s="25" t="str">
        <f t="shared" si="10"/>
        <v/>
      </c>
      <c r="I96" s="68" t="str">
        <f>IF(B96="","",IF(B96*2='Setup &amp; Summary'!$N$21,-H96,IF(B!B96*2&lt;'Setup &amp; Summary'!$N$21,B!I97+B!$N$5,B!I95-B!$N$5)))</f>
        <v/>
      </c>
      <c r="J96" s="22" t="str">
        <f t="shared" si="6"/>
        <v/>
      </c>
      <c r="K96" s="23" t="str">
        <f t="shared" si="7"/>
        <v/>
      </c>
      <c r="M96" s="60" t="str">
        <f>IF(B96="","",IF(B96*2='Setup &amp; Summary'!$N$21,"midstation row!",""))</f>
        <v/>
      </c>
    </row>
    <row r="97" spans="1:13" x14ac:dyDescent="0.2">
      <c r="A97" s="69">
        <f t="shared" si="11"/>
        <v>88</v>
      </c>
      <c r="B97" s="57" t="str">
        <f>IF('Setup &amp; Summary'!$N$21&gt;A97,A!B96+1,"")</f>
        <v/>
      </c>
      <c r="C97" s="71"/>
      <c r="D97" s="72"/>
      <c r="E97" s="72"/>
      <c r="F97" s="25" t="str">
        <f t="shared" si="8"/>
        <v/>
      </c>
      <c r="G97" s="21" t="str">
        <f t="shared" si="9"/>
        <v/>
      </c>
      <c r="H97" s="25" t="str">
        <f t="shared" si="10"/>
        <v/>
      </c>
      <c r="I97" s="68" t="str">
        <f>IF(B97="","",IF(B97*2='Setup &amp; Summary'!$N$21,-H97,IF(B!B97*2&lt;'Setup &amp; Summary'!$N$21,B!I98+B!$N$5,B!I96-B!$N$5)))</f>
        <v/>
      </c>
      <c r="J97" s="22" t="str">
        <f t="shared" si="6"/>
        <v/>
      </c>
      <c r="K97" s="23" t="str">
        <f t="shared" si="7"/>
        <v/>
      </c>
      <c r="M97" s="60" t="str">
        <f>IF(B97="","",IF(B97*2='Setup &amp; Summary'!$N$21,"midstation row!",""))</f>
        <v/>
      </c>
    </row>
    <row r="98" spans="1:13" x14ac:dyDescent="0.2">
      <c r="A98" s="69">
        <f t="shared" si="11"/>
        <v>89</v>
      </c>
      <c r="B98" s="57" t="str">
        <f>IF('Setup &amp; Summary'!$N$21&gt;A98,A!B97+1,"")</f>
        <v/>
      </c>
      <c r="C98" s="71"/>
      <c r="D98" s="72"/>
      <c r="E98" s="72"/>
      <c r="F98" s="25" t="str">
        <f t="shared" si="8"/>
        <v/>
      </c>
      <c r="G98" s="21" t="str">
        <f t="shared" si="9"/>
        <v/>
      </c>
      <c r="H98" s="25" t="str">
        <f t="shared" si="10"/>
        <v/>
      </c>
      <c r="I98" s="68" t="str">
        <f>IF(B98="","",IF(B98*2='Setup &amp; Summary'!$N$21,-H98,IF(B!B98*2&lt;'Setup &amp; Summary'!$N$21,B!I99+B!$N$5,B!I97-B!$N$5)))</f>
        <v/>
      </c>
      <c r="J98" s="22" t="str">
        <f t="shared" si="6"/>
        <v/>
      </c>
      <c r="K98" s="23" t="str">
        <f t="shared" si="7"/>
        <v/>
      </c>
      <c r="M98" s="60" t="str">
        <f>IF(B98="","",IF(B98*2='Setup &amp; Summary'!$N$21,"midstation row!",""))</f>
        <v/>
      </c>
    </row>
    <row r="99" spans="1:13" x14ac:dyDescent="0.2">
      <c r="A99" s="69">
        <f t="shared" si="11"/>
        <v>90</v>
      </c>
      <c r="B99" s="57" t="str">
        <f>IF('Setup &amp; Summary'!$N$21&gt;A99,A!B98+1,"")</f>
        <v/>
      </c>
      <c r="C99" s="71"/>
      <c r="D99" s="72"/>
      <c r="E99" s="72"/>
      <c r="F99" s="25" t="str">
        <f t="shared" si="8"/>
        <v/>
      </c>
      <c r="G99" s="21" t="str">
        <f t="shared" si="9"/>
        <v/>
      </c>
      <c r="H99" s="25" t="str">
        <f t="shared" si="10"/>
        <v/>
      </c>
      <c r="I99" s="68" t="str">
        <f>IF(B99="","",IF(B99*2='Setup &amp; Summary'!$N$21,-H99,IF(B!B99*2&lt;'Setup &amp; Summary'!$N$21,B!I100+B!$N$5,B!I98-B!$N$5)))</f>
        <v/>
      </c>
      <c r="J99" s="22" t="str">
        <f t="shared" si="6"/>
        <v/>
      </c>
      <c r="K99" s="23" t="str">
        <f t="shared" si="7"/>
        <v/>
      </c>
      <c r="M99" s="60" t="str">
        <f>IF(B99="","",IF(B99*2='Setup &amp; Summary'!$N$21,"midstation row!",""))</f>
        <v/>
      </c>
    </row>
    <row r="100" spans="1:13" x14ac:dyDescent="0.2">
      <c r="A100" s="69">
        <f t="shared" si="11"/>
        <v>91</v>
      </c>
      <c r="B100" s="57" t="str">
        <f>IF('Setup &amp; Summary'!$N$21&gt;A100,A!B99+1,"")</f>
        <v/>
      </c>
      <c r="C100" s="71"/>
      <c r="D100" s="72"/>
      <c r="E100" s="72"/>
      <c r="F100" s="25" t="str">
        <f t="shared" si="8"/>
        <v/>
      </c>
      <c r="G100" s="21" t="str">
        <f t="shared" si="9"/>
        <v/>
      </c>
      <c r="H100" s="25" t="str">
        <f t="shared" si="10"/>
        <v/>
      </c>
      <c r="I100" s="68" t="str">
        <f>IF(B100="","",IF(B100*2='Setup &amp; Summary'!$N$21,-H100,IF(B!B100*2&lt;'Setup &amp; Summary'!$N$21,B!I101+B!$N$5,B!I99-B!$N$5)))</f>
        <v/>
      </c>
      <c r="J100" s="22" t="str">
        <f t="shared" si="6"/>
        <v/>
      </c>
      <c r="K100" s="23" t="str">
        <f t="shared" si="7"/>
        <v/>
      </c>
      <c r="M100" s="60" t="str">
        <f>IF(B100="","",IF(B100*2='Setup &amp; Summary'!$N$21,"midstation row!",""))</f>
        <v/>
      </c>
    </row>
    <row r="101" spans="1:13" x14ac:dyDescent="0.2">
      <c r="A101" s="69">
        <f t="shared" si="11"/>
        <v>92</v>
      </c>
      <c r="B101" s="57" t="str">
        <f>IF('Setup &amp; Summary'!$N$21&gt;A101,A!B100+1,"")</f>
        <v/>
      </c>
      <c r="C101" s="71"/>
      <c r="D101" s="72"/>
      <c r="E101" s="72"/>
      <c r="F101" s="25" t="str">
        <f t="shared" si="8"/>
        <v/>
      </c>
      <c r="G101" s="21" t="str">
        <f t="shared" si="9"/>
        <v/>
      </c>
      <c r="H101" s="25" t="str">
        <f t="shared" si="10"/>
        <v/>
      </c>
      <c r="I101" s="68" t="str">
        <f>IF(B101="","",IF(B101*2='Setup &amp; Summary'!$N$21,-H101,IF(B!B101*2&lt;'Setup &amp; Summary'!$N$21,B!I102+B!$N$5,B!I100-B!$N$5)))</f>
        <v/>
      </c>
      <c r="J101" s="22" t="str">
        <f t="shared" si="6"/>
        <v/>
      </c>
      <c r="K101" s="23" t="str">
        <f t="shared" si="7"/>
        <v/>
      </c>
      <c r="M101" s="60" t="str">
        <f>IF(B101="","",IF(B101*2='Setup &amp; Summary'!$N$21,"midstation row!",""))</f>
        <v/>
      </c>
    </row>
    <row r="102" spans="1:13" x14ac:dyDescent="0.2">
      <c r="A102" s="69">
        <f t="shared" si="11"/>
        <v>93</v>
      </c>
      <c r="B102" s="57" t="str">
        <f>IF('Setup &amp; Summary'!$N$21&gt;A102,A!B101+1,"")</f>
        <v/>
      </c>
      <c r="C102" s="71"/>
      <c r="D102" s="72"/>
      <c r="E102" s="72"/>
      <c r="F102" s="25" t="str">
        <f t="shared" si="8"/>
        <v/>
      </c>
      <c r="G102" s="21" t="str">
        <f t="shared" si="9"/>
        <v/>
      </c>
      <c r="H102" s="25" t="str">
        <f t="shared" si="10"/>
        <v/>
      </c>
      <c r="I102" s="68" t="str">
        <f>IF(B102="","",IF(B102*2='Setup &amp; Summary'!$N$21,-H102,IF(B!B102*2&lt;'Setup &amp; Summary'!$N$21,B!I103+B!$N$5,B!I101-B!$N$5)))</f>
        <v/>
      </c>
      <c r="J102" s="22" t="str">
        <f t="shared" si="6"/>
        <v/>
      </c>
      <c r="K102" s="23" t="str">
        <f t="shared" si="7"/>
        <v/>
      </c>
      <c r="M102" s="60" t="str">
        <f>IF(B102="","",IF(B102*2='Setup &amp; Summary'!$N$21,"midstation row!",""))</f>
        <v/>
      </c>
    </row>
    <row r="103" spans="1:13" x14ac:dyDescent="0.2">
      <c r="A103" s="69">
        <f t="shared" si="11"/>
        <v>94</v>
      </c>
      <c r="B103" s="57" t="str">
        <f>IF('Setup &amp; Summary'!$N$21&gt;A103,A!B102+1,"")</f>
        <v/>
      </c>
      <c r="C103" s="71"/>
      <c r="D103" s="72"/>
      <c r="E103" s="72"/>
      <c r="F103" s="25" t="str">
        <f t="shared" si="8"/>
        <v/>
      </c>
      <c r="G103" s="21" t="str">
        <f t="shared" si="9"/>
        <v/>
      </c>
      <c r="H103" s="25" t="str">
        <f t="shared" si="10"/>
        <v/>
      </c>
      <c r="I103" s="68" t="str">
        <f>IF(B103="","",IF(B103*2='Setup &amp; Summary'!$N$21,-H103,IF(B!B103*2&lt;'Setup &amp; Summary'!$N$21,B!I104+B!$N$5,B!I102-B!$N$5)))</f>
        <v/>
      </c>
      <c r="J103" s="22" t="str">
        <f t="shared" si="6"/>
        <v/>
      </c>
      <c r="K103" s="23" t="str">
        <f t="shared" si="7"/>
        <v/>
      </c>
      <c r="M103" s="60" t="str">
        <f>IF(B103="","",IF(B103*2='Setup &amp; Summary'!$N$21,"midstation row!",""))</f>
        <v/>
      </c>
    </row>
    <row r="104" spans="1:13" x14ac:dyDescent="0.2">
      <c r="A104" s="69">
        <f t="shared" si="11"/>
        <v>95</v>
      </c>
      <c r="B104" s="57" t="str">
        <f>IF('Setup &amp; Summary'!$N$21&gt;A104,A!B103+1,"")</f>
        <v/>
      </c>
      <c r="C104" s="71"/>
      <c r="D104" s="72"/>
      <c r="E104" s="72"/>
      <c r="F104" s="25" t="str">
        <f t="shared" si="8"/>
        <v/>
      </c>
      <c r="G104" s="21" t="str">
        <f t="shared" si="9"/>
        <v/>
      </c>
      <c r="H104" s="25" t="str">
        <f t="shared" si="10"/>
        <v/>
      </c>
      <c r="I104" s="68" t="str">
        <f>IF(B104="","",IF(B104*2='Setup &amp; Summary'!$N$21,-H104,IF(B!B104*2&lt;'Setup &amp; Summary'!$N$21,B!I105+B!$N$5,B!I103-B!$N$5)))</f>
        <v/>
      </c>
      <c r="J104" s="22" t="str">
        <f t="shared" si="6"/>
        <v/>
      </c>
      <c r="K104" s="23" t="str">
        <f t="shared" si="7"/>
        <v/>
      </c>
      <c r="M104" s="60" t="str">
        <f>IF(B104="","",IF(B104*2='Setup &amp; Summary'!$N$21,"midstation row!",""))</f>
        <v/>
      </c>
    </row>
    <row r="105" spans="1:13" x14ac:dyDescent="0.2">
      <c r="A105" s="69">
        <f t="shared" si="11"/>
        <v>96</v>
      </c>
      <c r="B105" s="57" t="str">
        <f>IF('Setup &amp; Summary'!$N$21&gt;A105,A!B104+1,"")</f>
        <v/>
      </c>
      <c r="C105" s="71"/>
      <c r="D105" s="72"/>
      <c r="E105" s="72"/>
      <c r="F105" s="25" t="str">
        <f t="shared" si="8"/>
        <v/>
      </c>
      <c r="G105" s="21" t="str">
        <f t="shared" si="9"/>
        <v/>
      </c>
      <c r="H105" s="25" t="str">
        <f t="shared" si="10"/>
        <v/>
      </c>
      <c r="I105" s="68" t="str">
        <f>IF(B105="","",IF(B105*2='Setup &amp; Summary'!$N$21,-H105,IF(B!B105*2&lt;'Setup &amp; Summary'!$N$21,B!I106+B!$N$5,B!I104-B!$N$5)))</f>
        <v/>
      </c>
      <c r="J105" s="22" t="str">
        <f t="shared" si="6"/>
        <v/>
      </c>
      <c r="K105" s="23" t="str">
        <f t="shared" si="7"/>
        <v/>
      </c>
      <c r="M105" s="60" t="str">
        <f>IF(B105="","",IF(B105*2='Setup &amp; Summary'!$N$21,"midstation row!",""))</f>
        <v/>
      </c>
    </row>
    <row r="106" spans="1:13" x14ac:dyDescent="0.2">
      <c r="A106" s="69">
        <f t="shared" si="11"/>
        <v>97</v>
      </c>
      <c r="B106" s="57" t="str">
        <f>IF('Setup &amp; Summary'!$N$21&gt;A106,A!B105+1,"")</f>
        <v/>
      </c>
      <c r="C106" s="71"/>
      <c r="D106" s="72"/>
      <c r="E106" s="72"/>
      <c r="F106" s="25" t="str">
        <f t="shared" si="8"/>
        <v/>
      </c>
      <c r="G106" s="21" t="str">
        <f t="shared" si="9"/>
        <v/>
      </c>
      <c r="H106" s="25" t="str">
        <f t="shared" si="10"/>
        <v/>
      </c>
      <c r="I106" s="68" t="str">
        <f>IF(B106="","",IF(B106*2='Setup &amp; Summary'!$N$21,-H106,IF(B!B106*2&lt;'Setup &amp; Summary'!$N$21,B!I107+B!$N$5,B!I105-B!$N$5)))</f>
        <v/>
      </c>
      <c r="J106" s="22" t="str">
        <f t="shared" si="6"/>
        <v/>
      </c>
      <c r="K106" s="23" t="str">
        <f t="shared" si="7"/>
        <v/>
      </c>
      <c r="M106" s="60" t="str">
        <f>IF(B106="","",IF(B106*2='Setup &amp; Summary'!$N$21,"midstation row!",""))</f>
        <v/>
      </c>
    </row>
    <row r="107" spans="1:13" x14ac:dyDescent="0.2">
      <c r="A107" s="69">
        <f t="shared" si="11"/>
        <v>98</v>
      </c>
      <c r="B107" s="57" t="str">
        <f>IF('Setup &amp; Summary'!$N$21&gt;A107,A!B106+1,"")</f>
        <v/>
      </c>
      <c r="C107" s="71"/>
      <c r="D107" s="72"/>
      <c r="E107" s="72"/>
      <c r="F107" s="25" t="str">
        <f t="shared" si="8"/>
        <v/>
      </c>
      <c r="G107" s="21" t="str">
        <f t="shared" si="9"/>
        <v/>
      </c>
      <c r="H107" s="25" t="str">
        <f t="shared" si="10"/>
        <v/>
      </c>
      <c r="I107" s="68" t="str">
        <f>IF(B107="","",IF(B107*2='Setup &amp; Summary'!$N$21,-H107,IF(B!B107*2&lt;'Setup &amp; Summary'!$N$21,B!I108+B!$N$5,B!I106-B!$N$5)))</f>
        <v/>
      </c>
      <c r="J107" s="22" t="str">
        <f t="shared" si="6"/>
        <v/>
      </c>
      <c r="K107" s="23" t="str">
        <f t="shared" si="7"/>
        <v/>
      </c>
      <c r="M107" s="60" t="str">
        <f>IF(B107="","",IF(B107*2='Setup &amp; Summary'!$N$21,"midstation row!",""))</f>
        <v/>
      </c>
    </row>
    <row r="108" spans="1:13" x14ac:dyDescent="0.2">
      <c r="A108" s="69">
        <f t="shared" si="11"/>
        <v>99</v>
      </c>
      <c r="B108" s="57" t="str">
        <f>IF('Setup &amp; Summary'!$N$21&gt;A108,A!B107+1,"")</f>
        <v/>
      </c>
      <c r="C108" s="71"/>
      <c r="D108" s="72"/>
      <c r="E108" s="72"/>
      <c r="F108" s="25" t="str">
        <f t="shared" si="8"/>
        <v/>
      </c>
      <c r="G108" s="21" t="str">
        <f t="shared" si="9"/>
        <v/>
      </c>
      <c r="H108" s="25" t="str">
        <f t="shared" si="10"/>
        <v/>
      </c>
      <c r="I108" s="68" t="str">
        <f>IF(B108="","",IF(B108*2='Setup &amp; Summary'!$N$21,-H108,IF(B!B108*2&lt;'Setup &amp; Summary'!$N$21,B!I109+B!$N$5,B!I107-B!$N$5)))</f>
        <v/>
      </c>
      <c r="J108" s="22" t="str">
        <f t="shared" si="6"/>
        <v/>
      </c>
      <c r="K108" s="23" t="str">
        <f t="shared" si="7"/>
        <v/>
      </c>
      <c r="M108" s="60" t="str">
        <f>IF(B108="","",IF(B108*2='Setup &amp; Summary'!$N$21,"midstation row!",""))</f>
        <v/>
      </c>
    </row>
    <row r="109" spans="1:13" x14ac:dyDescent="0.2">
      <c r="C109" s="74"/>
      <c r="D109" s="74"/>
      <c r="E109" s="74"/>
    </row>
  </sheetData>
  <sheetProtection sheet="1" objects="1" scenarios="1" selectLockedCells="1"/>
  <phoneticPr fontId="0" type="noConversion"/>
  <conditionalFormatting sqref="M10:M108">
    <cfRule type="cellIs" dxfId="55" priority="7" operator="equal">
      <formula>""</formula>
    </cfRule>
    <cfRule type="cellIs" dxfId="54" priority="8" operator="equal">
      <formula>"Midstation Row!"</formula>
    </cfRule>
  </conditionalFormatting>
  <conditionalFormatting sqref="L10:M28 L32:M108 M29:M31 J1:K3 B10:B108 F10:I108">
    <cfRule type="cellIs" dxfId="53" priority="6" operator="equal">
      <formula>""</formula>
    </cfRule>
  </conditionalFormatting>
  <conditionalFormatting sqref="J10:K109">
    <cfRule type="cellIs" dxfId="52" priority="5" operator="equal">
      <formula>""</formula>
    </cfRule>
  </conditionalFormatting>
  <conditionalFormatting sqref="C9:E9">
    <cfRule type="expression" dxfId="51" priority="4">
      <formula>$B9=""</formula>
    </cfRule>
  </conditionalFormatting>
  <conditionalFormatting sqref="C10:E108">
    <cfRule type="expression" dxfId="50" priority="3">
      <formula>$B10=""</formula>
    </cfRule>
  </conditionalFormatting>
  <conditionalFormatting sqref="I10 I29 I48 I67 I86 I105">
    <cfRule type="expression" dxfId="49" priority="2">
      <formula>$M10="Midstation Row!"</formula>
    </cfRule>
  </conditionalFormatting>
  <conditionalFormatting sqref="I10:I108">
    <cfRule type="expression" dxfId="48" priority="1">
      <formula>$M10="Midstation Row!"</formula>
    </cfRule>
  </conditionalFormatting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99"/>
  <sheetViews>
    <sheetView zoomScale="70" zoomScaleNormal="70" workbookViewId="0">
      <selection activeCell="C9" sqref="C9"/>
    </sheetView>
  </sheetViews>
  <sheetFormatPr defaultRowHeight="12.75" x14ac:dyDescent="0.2"/>
  <cols>
    <col min="1" max="1" width="3.42578125" style="70" customWidth="1"/>
    <col min="13" max="13" width="23.42578125" customWidth="1"/>
    <col min="14" max="14" width="7.5703125" customWidth="1"/>
    <col min="16" max="16" width="9.140625" customWidth="1"/>
  </cols>
  <sheetData>
    <row r="1" spans="1:16" x14ac:dyDescent="0.2">
      <c r="A1" s="69"/>
      <c r="B1" s="28"/>
      <c r="C1" s="28"/>
      <c r="D1" s="28"/>
      <c r="E1" s="28"/>
      <c r="F1" s="28"/>
      <c r="G1" s="28"/>
      <c r="H1" s="28"/>
      <c r="I1" s="28"/>
      <c r="J1" s="31">
        <f>MIN(K:K)</f>
        <v>-160.99999999999966</v>
      </c>
      <c r="K1" t="s">
        <v>4</v>
      </c>
      <c r="M1" s="28"/>
      <c r="N1" s="28"/>
      <c r="P1" s="28"/>
    </row>
    <row r="2" spans="1:16" ht="18" x14ac:dyDescent="0.25">
      <c r="A2" s="69"/>
      <c r="B2" s="1" t="str">
        <f>'Setup &amp; Summary'!P10&amp;"""x"&amp;'Setup &amp; Summary'!P11&amp;""" Plate, "&amp;'Setup &amp; Summary'!N16&amp;""" Foot Pad Distance"</f>
        <v>36"x48" Plate, 2" Foot Pad Distance</v>
      </c>
      <c r="G2" s="2" t="s">
        <v>22</v>
      </c>
      <c r="J2" s="31">
        <f>MAX(K:K)</f>
        <v>9</v>
      </c>
      <c r="K2" t="s">
        <v>5</v>
      </c>
      <c r="P2" s="28"/>
    </row>
    <row r="3" spans="1:16" x14ac:dyDescent="0.2">
      <c r="A3" s="69"/>
      <c r="J3" s="31">
        <f>ABS(J1-J2)</f>
        <v>169.99999999999966</v>
      </c>
      <c r="K3" t="s">
        <v>6</v>
      </c>
      <c r="P3" s="28"/>
    </row>
    <row r="4" spans="1:16" ht="13.5" thickBot="1" x14ac:dyDescent="0.25">
      <c r="A4" s="69"/>
      <c r="P4" s="28"/>
    </row>
    <row r="5" spans="1:16" ht="13.5" thickTop="1" x14ac:dyDescent="0.2">
      <c r="A5" s="69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61" t="s">
        <v>0</v>
      </c>
      <c r="L5" s="66"/>
      <c r="M5" s="6" t="s">
        <v>1</v>
      </c>
      <c r="N5" s="7">
        <f>(INDEX(I:I,MATCH(MAX(B:B),B:B))-I8)/MAX(B:B)</f>
        <v>2.697727272727271</v>
      </c>
      <c r="P5" s="28"/>
    </row>
    <row r="6" spans="1:16" ht="13.5" thickBot="1" x14ac:dyDescent="0.25">
      <c r="A6" s="69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62">
        <v>9</v>
      </c>
      <c r="L6" s="66"/>
      <c r="M6" s="11" t="s">
        <v>2</v>
      </c>
      <c r="N6" s="12">
        <f>'Setup &amp; Summary'!$N$16</f>
        <v>2</v>
      </c>
      <c r="P6" s="30"/>
    </row>
    <row r="7" spans="1:16" ht="13.5" thickTop="1" x14ac:dyDescent="0.2">
      <c r="A7" s="69"/>
      <c r="B7" s="13"/>
      <c r="C7" s="14"/>
      <c r="D7" s="15"/>
      <c r="E7" s="15"/>
      <c r="F7" s="15"/>
      <c r="G7" s="15"/>
      <c r="H7" s="15"/>
      <c r="I7" s="15"/>
      <c r="J7" s="15"/>
      <c r="K7" s="63"/>
      <c r="L7" s="67"/>
      <c r="M7" s="6" t="s">
        <v>3</v>
      </c>
      <c r="N7" s="16">
        <f>N6*5</f>
        <v>10</v>
      </c>
      <c r="P7" s="29"/>
    </row>
    <row r="8" spans="1:16" x14ac:dyDescent="0.2">
      <c r="A8" s="69"/>
      <c r="B8" s="57" t="s">
        <v>68</v>
      </c>
      <c r="C8" s="17"/>
      <c r="D8" s="18"/>
      <c r="E8" s="18"/>
      <c r="F8" s="19"/>
      <c r="G8" s="19"/>
      <c r="H8" s="20">
        <v>0</v>
      </c>
      <c r="I8" s="25">
        <f>INDEX(B!J:J,MATCH(MAX(B!B:B),B!B:B))</f>
        <v>-16.099999999999966</v>
      </c>
      <c r="J8" s="22">
        <f>IF(B8="","",I8+H8)</f>
        <v>-16.099999999999966</v>
      </c>
      <c r="K8" s="64">
        <f>IF(B8="","",J8*$N$7)</f>
        <v>-160.99999999999966</v>
      </c>
      <c r="L8" s="67"/>
      <c r="N8" s="24"/>
      <c r="P8" s="30"/>
    </row>
    <row r="9" spans="1:16" x14ac:dyDescent="0.2">
      <c r="A9" s="69"/>
      <c r="B9" s="38">
        <v>1</v>
      </c>
      <c r="C9" s="71">
        <v>7.8</v>
      </c>
      <c r="D9" s="72">
        <v>7.7</v>
      </c>
      <c r="E9" s="72">
        <v>7.5</v>
      </c>
      <c r="F9" s="25">
        <f>AVERAGE(C9:E9)</f>
        <v>7.666666666666667</v>
      </c>
      <c r="G9" s="21">
        <f>F9-$F$9</f>
        <v>0</v>
      </c>
      <c r="H9" s="21">
        <f>H8+G9</f>
        <v>0</v>
      </c>
      <c r="I9" s="25">
        <f>I10-$N$5</f>
        <v>-13.402272727272683</v>
      </c>
      <c r="J9" s="22">
        <f t="shared" ref="J9:J72" si="0">IF(B9="","",I9+H9)</f>
        <v>-13.402272727272683</v>
      </c>
      <c r="K9" s="64">
        <f t="shared" ref="K9:K72" si="1">IF(B9="","",J9*$N$7)</f>
        <v>-134.02272727272683</v>
      </c>
      <c r="L9" s="67"/>
      <c r="P9" s="28"/>
    </row>
    <row r="10" spans="1:16" x14ac:dyDescent="0.2">
      <c r="A10" s="69">
        <v>1</v>
      </c>
      <c r="B10" s="57">
        <f>IF('Setup &amp; Summary'!$N$15&gt;A10,A!B9+1,"")</f>
        <v>2</v>
      </c>
      <c r="C10" s="71">
        <v>7.8</v>
      </c>
      <c r="D10" s="72">
        <v>7.8</v>
      </c>
      <c r="E10" s="72">
        <v>7.5</v>
      </c>
      <c r="F10" s="25">
        <f t="shared" ref="F10:F73" si="2">IF(B10="","",AVERAGE(C10:E10))</f>
        <v>7.7</v>
      </c>
      <c r="G10" s="21">
        <f t="shared" ref="G10:G73" si="3">IF(B10="","",F10-$F$9)</f>
        <v>3.3333333333333215E-2</v>
      </c>
      <c r="H10" s="25">
        <f t="shared" ref="H10:H73" si="4">IF(B10="","",H9+G10)</f>
        <v>3.3333333333333215E-2</v>
      </c>
      <c r="I10" s="68">
        <f>IF(B10="","",IF(B10='Setup &amp; Summary'!$N$15,J10-H10,I11-$N$5))</f>
        <v>-10.704545454545412</v>
      </c>
      <c r="J10" s="22">
        <f>IF(B10="","",IF(B10='Setup &amp; Summary'!$N$15,INDEX(A!J:J,MATCH(MAX(A!B:B),A!B:B)),I10+H10))</f>
        <v>-10.671212121212079</v>
      </c>
      <c r="K10" s="23">
        <f t="shared" si="1"/>
        <v>-106.71212121212079</v>
      </c>
      <c r="L10" s="65"/>
      <c r="M10" s="60" t="str">
        <f>IF(B10="","",IF(B10*2='Setup &amp; Summary'!$N$15,"midstation row!",""))</f>
        <v/>
      </c>
      <c r="P10" s="28"/>
    </row>
    <row r="11" spans="1:16" x14ac:dyDescent="0.2">
      <c r="A11" s="69">
        <f>A10+1</f>
        <v>2</v>
      </c>
      <c r="B11" s="57">
        <f>IF('Setup &amp; Summary'!$N$15&gt;A11,A!B10+1,"")</f>
        <v>3</v>
      </c>
      <c r="C11" s="71">
        <v>8.1</v>
      </c>
      <c r="D11" s="72">
        <v>8</v>
      </c>
      <c r="E11" s="72">
        <v>8.1999999999999993</v>
      </c>
      <c r="F11" s="25">
        <f t="shared" si="2"/>
        <v>8.1</v>
      </c>
      <c r="G11" s="21">
        <f t="shared" si="3"/>
        <v>0.43333333333333268</v>
      </c>
      <c r="H11" s="25">
        <f t="shared" si="4"/>
        <v>0.4666666666666659</v>
      </c>
      <c r="I11" s="68">
        <f>IF(B11="","",IF(B11='Setup &amp; Summary'!$N$15,J11-H11,I12-$N$5))</f>
        <v>-8.0068181818181419</v>
      </c>
      <c r="J11" s="22">
        <f>IF(B11="","",IF(B11='Setup &amp; Summary'!$N$15,INDEX(A!J:J,MATCH(MAX(A!B:B),A!B:B)),I11+H11))</f>
        <v>-7.540151515151476</v>
      </c>
      <c r="K11" s="23">
        <f t="shared" si="1"/>
        <v>-75.401515151514758</v>
      </c>
      <c r="L11" s="59"/>
      <c r="M11" s="60" t="str">
        <f>IF(B11="","",IF(B11*2='Setup &amp; Summary'!$N$15,"midstation row!",""))</f>
        <v/>
      </c>
      <c r="P11" s="28"/>
    </row>
    <row r="12" spans="1:16" x14ac:dyDescent="0.2">
      <c r="A12" s="69">
        <f t="shared" ref="A12:A75" si="5">A11+1</f>
        <v>3</v>
      </c>
      <c r="B12" s="57">
        <f>IF('Setup &amp; Summary'!$N$15&gt;A12,A!B11+1,"")</f>
        <v>4</v>
      </c>
      <c r="C12" s="71">
        <v>7.3</v>
      </c>
      <c r="D12" s="72">
        <v>7.5</v>
      </c>
      <c r="E12" s="72">
        <v>7.4</v>
      </c>
      <c r="F12" s="25">
        <f t="shared" si="2"/>
        <v>7.4000000000000012</v>
      </c>
      <c r="G12" s="21">
        <f t="shared" si="3"/>
        <v>-0.26666666666666572</v>
      </c>
      <c r="H12" s="25">
        <f t="shared" si="4"/>
        <v>0.20000000000000018</v>
      </c>
      <c r="I12" s="68">
        <f>IF(B12="","",IF(B12='Setup &amp; Summary'!$N$15,J12-H12,I13-$N$5))</f>
        <v>-5.3090909090908713</v>
      </c>
      <c r="J12" s="22">
        <f>IF(B12="","",IF(B12='Setup &amp; Summary'!$N$15,INDEX(A!J:J,MATCH(MAX(A!B:B),A!B:B)),I12+H12))</f>
        <v>-5.1090909090908712</v>
      </c>
      <c r="K12" s="23">
        <f t="shared" si="1"/>
        <v>-51.09090909090871</v>
      </c>
      <c r="L12" s="59"/>
      <c r="M12" s="60" t="str">
        <f>IF(B12="","",IF(B12*2='Setup &amp; Summary'!$N$15,"midstation row!",""))</f>
        <v/>
      </c>
      <c r="P12" s="28"/>
    </row>
    <row r="13" spans="1:16" x14ac:dyDescent="0.2">
      <c r="A13" s="69">
        <f t="shared" si="5"/>
        <v>4</v>
      </c>
      <c r="B13" s="57">
        <f>IF('Setup &amp; Summary'!$N$15&gt;A13,A!B12+1,"")</f>
        <v>5</v>
      </c>
      <c r="C13" s="71">
        <v>6.2</v>
      </c>
      <c r="D13" s="72">
        <v>6</v>
      </c>
      <c r="E13" s="72">
        <v>6</v>
      </c>
      <c r="F13" s="25">
        <f t="shared" si="2"/>
        <v>6.0666666666666664</v>
      </c>
      <c r="G13" s="21">
        <f t="shared" si="3"/>
        <v>-1.6000000000000005</v>
      </c>
      <c r="H13" s="25">
        <f t="shared" si="4"/>
        <v>-1.4000000000000004</v>
      </c>
      <c r="I13" s="68">
        <f>IF(B13="","",IF(B13='Setup &amp; Summary'!$N$15,J13-H13,I14-$N$5))</f>
        <v>-2.6113636363636004</v>
      </c>
      <c r="J13" s="22">
        <f>IF(B13="","",IF(B13='Setup &amp; Summary'!$N$15,INDEX(A!J:J,MATCH(MAX(A!B:B),A!B:B)),I13+H13))</f>
        <v>-4.0113636363636012</v>
      </c>
      <c r="K13" s="23">
        <f t="shared" si="1"/>
        <v>-40.113636363636012</v>
      </c>
      <c r="L13" s="59"/>
      <c r="M13" s="60" t="str">
        <f>IF(B13="","",IF(B13*2='Setup &amp; Summary'!$N$15,"midstation row!",""))</f>
        <v/>
      </c>
      <c r="P13" s="28"/>
    </row>
    <row r="14" spans="1:16" x14ac:dyDescent="0.2">
      <c r="A14" s="69">
        <f t="shared" si="5"/>
        <v>5</v>
      </c>
      <c r="B14" s="57">
        <f>IF('Setup &amp; Summary'!$N$15&gt;A14,A!B13+1,"")</f>
        <v>6</v>
      </c>
      <c r="C14" s="71">
        <v>5.6</v>
      </c>
      <c r="D14" s="72">
        <v>5.8</v>
      </c>
      <c r="E14" s="72">
        <v>5.6</v>
      </c>
      <c r="F14" s="25">
        <f t="shared" si="2"/>
        <v>5.666666666666667</v>
      </c>
      <c r="G14" s="21">
        <f t="shared" si="3"/>
        <v>-2</v>
      </c>
      <c r="H14" s="25">
        <f t="shared" si="4"/>
        <v>-3.4000000000000004</v>
      </c>
      <c r="I14" s="68">
        <f>IF(B14="","",IF(B14='Setup &amp; Summary'!$N$15,J14-H14,I15-$N$5))</f>
        <v>8.6363636363670615E-2</v>
      </c>
      <c r="J14" s="22">
        <f>IF(B14="","",IF(B14='Setup &amp; Summary'!$N$15,INDEX(A!J:J,MATCH(MAX(A!B:B),A!B:B)),I14+H14))</f>
        <v>-3.3136363636363297</v>
      </c>
      <c r="K14" s="23">
        <f t="shared" si="1"/>
        <v>-33.136363636363299</v>
      </c>
      <c r="L14" s="59"/>
      <c r="M14" s="60" t="str">
        <f>IF(B14="","",IF(B14*2='Setup &amp; Summary'!$N$15,"midstation row!",""))</f>
        <v/>
      </c>
      <c r="P14" s="28"/>
    </row>
    <row r="15" spans="1:16" x14ac:dyDescent="0.2">
      <c r="A15" s="69">
        <f t="shared" si="5"/>
        <v>6</v>
      </c>
      <c r="B15" s="57">
        <f>IF('Setup &amp; Summary'!$N$15&gt;A15,A!B14+1,"")</f>
        <v>7</v>
      </c>
      <c r="C15" s="71">
        <v>6</v>
      </c>
      <c r="D15" s="72">
        <v>6</v>
      </c>
      <c r="E15" s="72">
        <v>5.8</v>
      </c>
      <c r="F15" s="25">
        <f t="shared" si="2"/>
        <v>5.9333333333333336</v>
      </c>
      <c r="G15" s="21">
        <f t="shared" si="3"/>
        <v>-1.7333333333333334</v>
      </c>
      <c r="H15" s="25">
        <f t="shared" si="4"/>
        <v>-5.1333333333333337</v>
      </c>
      <c r="I15" s="68">
        <f>IF(B15="","",IF(B15='Setup &amp; Summary'!$N$15,J15-H15,I16-$N$5))</f>
        <v>2.7840909090909416</v>
      </c>
      <c r="J15" s="22">
        <f>IF(B15="","",IF(B15='Setup &amp; Summary'!$N$15,INDEX(A!J:J,MATCH(MAX(A!B:B),A!B:B)),I15+H15))</f>
        <v>-2.3492424242423922</v>
      </c>
      <c r="K15" s="23">
        <f t="shared" si="1"/>
        <v>-23.492424242423922</v>
      </c>
      <c r="L15" s="59"/>
      <c r="M15" s="60" t="str">
        <f>IF(B15="","",IF(B15*2='Setup &amp; Summary'!$N$15,"midstation row!",""))</f>
        <v/>
      </c>
      <c r="P15" s="28"/>
    </row>
    <row r="16" spans="1:16" x14ac:dyDescent="0.2">
      <c r="A16" s="69">
        <f t="shared" si="5"/>
        <v>7</v>
      </c>
      <c r="B16" s="57">
        <f>IF('Setup &amp; Summary'!$N$15&gt;A16,A!B15+1,"")</f>
        <v>8</v>
      </c>
      <c r="C16" s="71">
        <v>6</v>
      </c>
      <c r="D16" s="72">
        <v>5.6</v>
      </c>
      <c r="E16" s="72">
        <v>5.6</v>
      </c>
      <c r="F16" s="25">
        <f t="shared" si="2"/>
        <v>5.7333333333333334</v>
      </c>
      <c r="G16" s="21">
        <f t="shared" si="3"/>
        <v>-1.9333333333333336</v>
      </c>
      <c r="H16" s="25">
        <f t="shared" si="4"/>
        <v>-7.0666666666666673</v>
      </c>
      <c r="I16" s="68">
        <f>IF(B16="","",IF(B16='Setup &amp; Summary'!$N$15,J16-H16,I17-$N$5))</f>
        <v>5.4818181818182126</v>
      </c>
      <c r="J16" s="22">
        <f>IF(B16="","",IF(B16='Setup &amp; Summary'!$N$15,INDEX(A!J:J,MATCH(MAX(A!B:B),A!B:B)),I16+H16))</f>
        <v>-1.5848484848484548</v>
      </c>
      <c r="K16" s="23">
        <f t="shared" si="1"/>
        <v>-15.848484848484548</v>
      </c>
      <c r="L16" s="59"/>
      <c r="M16" s="60" t="str">
        <f>IF(B16="","",IF(B16*2='Setup &amp; Summary'!$N$15,"midstation row!",""))</f>
        <v/>
      </c>
      <c r="P16" s="28"/>
    </row>
    <row r="17" spans="1:16" x14ac:dyDescent="0.2">
      <c r="A17" s="69">
        <f t="shared" si="5"/>
        <v>8</v>
      </c>
      <c r="B17" s="57">
        <f>IF('Setup &amp; Summary'!$N$15&gt;A17,A!B16+1,"")</f>
        <v>9</v>
      </c>
      <c r="C17" s="71">
        <v>6</v>
      </c>
      <c r="D17" s="72">
        <v>5.8</v>
      </c>
      <c r="E17" s="72">
        <v>5.6</v>
      </c>
      <c r="F17" s="25">
        <f t="shared" si="2"/>
        <v>5.8</v>
      </c>
      <c r="G17" s="21">
        <f t="shared" si="3"/>
        <v>-1.8666666666666671</v>
      </c>
      <c r="H17" s="25">
        <f t="shared" si="4"/>
        <v>-8.9333333333333336</v>
      </c>
      <c r="I17" s="68">
        <f>IF(B17="","",IF(B17='Setup &amp; Summary'!$N$15,J17-H17,I18-$N$5))</f>
        <v>8.1795454545454831</v>
      </c>
      <c r="J17" s="22">
        <f>IF(B17="","",IF(B17='Setup &amp; Summary'!$N$15,INDEX(A!J:J,MATCH(MAX(A!B:B),A!B:B)),I17+H17))</f>
        <v>-0.75378787878785047</v>
      </c>
      <c r="K17" s="23">
        <f t="shared" si="1"/>
        <v>-7.5378787878785047</v>
      </c>
      <c r="L17" s="59"/>
      <c r="M17" s="60" t="str">
        <f>IF(B17="","",IF(B17*2='Setup &amp; Summary'!$N$15,"midstation row!",""))</f>
        <v/>
      </c>
      <c r="N17" s="58"/>
      <c r="P17" s="28"/>
    </row>
    <row r="18" spans="1:16" x14ac:dyDescent="0.2">
      <c r="A18" s="69">
        <f t="shared" si="5"/>
        <v>9</v>
      </c>
      <c r="B18" s="57">
        <f>IF('Setup &amp; Summary'!$N$15&gt;A18,A!B17+1,"")</f>
        <v>10</v>
      </c>
      <c r="C18" s="71">
        <v>4.7</v>
      </c>
      <c r="D18" s="72">
        <v>4.9000000000000004</v>
      </c>
      <c r="E18" s="72">
        <v>4.8</v>
      </c>
      <c r="F18" s="25">
        <f t="shared" si="2"/>
        <v>4.8000000000000007</v>
      </c>
      <c r="G18" s="21">
        <f t="shared" si="3"/>
        <v>-2.8666666666666663</v>
      </c>
      <c r="H18" s="25">
        <f t="shared" si="4"/>
        <v>-11.8</v>
      </c>
      <c r="I18" s="68">
        <f>IF(B18="","",IF(B18='Setup &amp; Summary'!$N$15,J18-H18,I19-$N$5))</f>
        <v>10.877272727272754</v>
      </c>
      <c r="J18" s="22">
        <f>IF(B18="","",IF(B18='Setup &amp; Summary'!$N$15,INDEX(A!J:J,MATCH(MAX(A!B:B),A!B:B)),I18+H18))</f>
        <v>-0.92272727272724708</v>
      </c>
      <c r="K18" s="23">
        <f t="shared" si="1"/>
        <v>-9.2272727272724708</v>
      </c>
      <c r="L18" s="59"/>
      <c r="M18" s="60" t="str">
        <f>IF(B18="","",IF(B18*2='Setup &amp; Summary'!$N$15,"midstation row!",""))</f>
        <v/>
      </c>
      <c r="P18" s="28"/>
    </row>
    <row r="19" spans="1:16" x14ac:dyDescent="0.2">
      <c r="A19" s="69">
        <f t="shared" si="5"/>
        <v>10</v>
      </c>
      <c r="B19" s="57">
        <f>IF('Setup &amp; Summary'!$N$15&gt;A19,A!B18+1,"")</f>
        <v>11</v>
      </c>
      <c r="C19" s="71">
        <v>5.4</v>
      </c>
      <c r="D19" s="72">
        <v>5.2</v>
      </c>
      <c r="E19" s="72">
        <v>5.3</v>
      </c>
      <c r="F19" s="25">
        <f t="shared" si="2"/>
        <v>5.3000000000000007</v>
      </c>
      <c r="G19" s="21">
        <f t="shared" si="3"/>
        <v>-2.3666666666666663</v>
      </c>
      <c r="H19" s="25">
        <f t="shared" si="4"/>
        <v>-14.166666666666668</v>
      </c>
      <c r="I19" s="68">
        <f>IF(B19="","",IF(B19='Setup &amp; Summary'!$N$15,J19-H19,I20-$N$5))</f>
        <v>13.575000000000024</v>
      </c>
      <c r="J19" s="22">
        <f>IF(B19="","",IF(B19='Setup &amp; Summary'!$N$15,INDEX(A!J:J,MATCH(MAX(A!B:B),A!B:B)),I19+H19))</f>
        <v>-0.59166666666664369</v>
      </c>
      <c r="K19" s="23">
        <f t="shared" si="1"/>
        <v>-5.9166666666664369</v>
      </c>
      <c r="L19" s="59"/>
      <c r="M19" s="60" t="str">
        <f>IF(B19="","",IF(B19*2='Setup &amp; Summary'!$N$15,"midstation row!",""))</f>
        <v>midstation row!</v>
      </c>
      <c r="P19" s="28"/>
    </row>
    <row r="20" spans="1:16" x14ac:dyDescent="0.2">
      <c r="A20" s="69">
        <f t="shared" si="5"/>
        <v>11</v>
      </c>
      <c r="B20" s="57">
        <f>IF('Setup &amp; Summary'!$N$15&gt;A20,A!B19+1,"")</f>
        <v>12</v>
      </c>
      <c r="C20" s="71">
        <v>5.2</v>
      </c>
      <c r="D20" s="72">
        <v>5</v>
      </c>
      <c r="E20" s="72">
        <v>5.2</v>
      </c>
      <c r="F20" s="25">
        <f t="shared" si="2"/>
        <v>5.1333333333333329</v>
      </c>
      <c r="G20" s="21">
        <f t="shared" si="3"/>
        <v>-2.5333333333333341</v>
      </c>
      <c r="H20" s="25">
        <f t="shared" si="4"/>
        <v>-16.700000000000003</v>
      </c>
      <c r="I20" s="68">
        <f>IF(B20="","",IF(B20='Setup &amp; Summary'!$N$15,J20-H20,I21-$N$5))</f>
        <v>16.272727272727295</v>
      </c>
      <c r="J20" s="22">
        <f>IF(B20="","",IF(B20='Setup &amp; Summary'!$N$15,INDEX(A!J:J,MATCH(MAX(A!B:B),A!B:B)),I20+H20))</f>
        <v>-0.42727272727270815</v>
      </c>
      <c r="K20" s="23">
        <f t="shared" si="1"/>
        <v>-4.2727272727270815</v>
      </c>
      <c r="L20" s="59"/>
      <c r="M20" s="60" t="str">
        <f>IF(B20="","",IF(B20*2='Setup &amp; Summary'!$N$15,"midstation row!",""))</f>
        <v/>
      </c>
      <c r="P20" s="28"/>
    </row>
    <row r="21" spans="1:16" x14ac:dyDescent="0.2">
      <c r="A21" s="69">
        <f t="shared" si="5"/>
        <v>12</v>
      </c>
      <c r="B21" s="57">
        <f>IF('Setup &amp; Summary'!$N$15&gt;A21,A!B20+1,"")</f>
        <v>13</v>
      </c>
      <c r="C21" s="71">
        <v>5.4</v>
      </c>
      <c r="D21" s="72">
        <v>5.2</v>
      </c>
      <c r="E21" s="72">
        <v>5.3</v>
      </c>
      <c r="F21" s="25">
        <f t="shared" si="2"/>
        <v>5.3000000000000007</v>
      </c>
      <c r="G21" s="21">
        <f t="shared" si="3"/>
        <v>-2.3666666666666663</v>
      </c>
      <c r="H21" s="25">
        <f t="shared" si="4"/>
        <v>-19.06666666666667</v>
      </c>
      <c r="I21" s="68">
        <f>IF(B21="","",IF(B21='Setup &amp; Summary'!$N$15,J21-H21,I22-$N$5))</f>
        <v>18.970454545454565</v>
      </c>
      <c r="J21" s="22">
        <f>IF(B21="","",IF(B21='Setup &amp; Summary'!$N$15,INDEX(A!J:J,MATCH(MAX(A!B:B),A!B:B)),I21+H21))</f>
        <v>-9.6212121212104762E-2</v>
      </c>
      <c r="K21" s="23">
        <f t="shared" si="1"/>
        <v>-0.96212121212104762</v>
      </c>
      <c r="L21" s="59"/>
      <c r="M21" s="60" t="str">
        <f>IF(B21="","",IF(B21*2='Setup &amp; Summary'!$N$15,"midstation row!",""))</f>
        <v/>
      </c>
      <c r="P21" s="28"/>
    </row>
    <row r="22" spans="1:16" x14ac:dyDescent="0.2">
      <c r="A22" s="69">
        <f t="shared" si="5"/>
        <v>13</v>
      </c>
      <c r="B22" s="57">
        <f>IF('Setup &amp; Summary'!$N$15&gt;A22,A!B21+1,"")</f>
        <v>14</v>
      </c>
      <c r="C22" s="71">
        <v>4.3</v>
      </c>
      <c r="D22" s="72">
        <v>4.2</v>
      </c>
      <c r="E22" s="72">
        <v>4</v>
      </c>
      <c r="F22" s="25">
        <f t="shared" si="2"/>
        <v>4.166666666666667</v>
      </c>
      <c r="G22" s="21">
        <f t="shared" si="3"/>
        <v>-3.5</v>
      </c>
      <c r="H22" s="25">
        <f t="shared" si="4"/>
        <v>-22.56666666666667</v>
      </c>
      <c r="I22" s="68">
        <f>IF(B22="","",IF(B22='Setup &amp; Summary'!$N$15,J22-H22,I23-$N$5))</f>
        <v>21.668181818181836</v>
      </c>
      <c r="J22" s="22">
        <f>IF(B22="","",IF(B22='Setup &amp; Summary'!$N$15,INDEX(A!J:J,MATCH(MAX(A!B:B),A!B:B)),I22+H22))</f>
        <v>-0.89848484848483423</v>
      </c>
      <c r="K22" s="23">
        <f t="shared" si="1"/>
        <v>-8.9848484848483423</v>
      </c>
      <c r="L22" s="59"/>
      <c r="M22" s="60" t="str">
        <f>IF(B22="","",IF(B22*2='Setup &amp; Summary'!$N$15,"midstation row!",""))</f>
        <v/>
      </c>
      <c r="P22" s="28"/>
    </row>
    <row r="23" spans="1:16" x14ac:dyDescent="0.2">
      <c r="A23" s="69">
        <f t="shared" si="5"/>
        <v>14</v>
      </c>
      <c r="B23" s="57">
        <f>IF('Setup &amp; Summary'!$N$15&gt;A23,A!B22+1,"")</f>
        <v>15</v>
      </c>
      <c r="C23" s="71">
        <v>4.5</v>
      </c>
      <c r="D23" s="72">
        <v>4.5999999999999996</v>
      </c>
      <c r="E23" s="72">
        <v>4.4000000000000004</v>
      </c>
      <c r="F23" s="25">
        <f t="shared" si="2"/>
        <v>4.5</v>
      </c>
      <c r="G23" s="21">
        <f t="shared" si="3"/>
        <v>-3.166666666666667</v>
      </c>
      <c r="H23" s="25">
        <f t="shared" si="4"/>
        <v>-25.733333333333338</v>
      </c>
      <c r="I23" s="68">
        <f>IF(B23="","",IF(B23='Setup &amp; Summary'!$N$15,J23-H23,I24-$N$5))</f>
        <v>24.365909090909106</v>
      </c>
      <c r="J23" s="22">
        <f>IF(B23="","",IF(B23='Setup &amp; Summary'!$N$15,INDEX(A!J:J,MATCH(MAX(A!B:B),A!B:B)),I23+H23))</f>
        <v>-1.3674242424242316</v>
      </c>
      <c r="K23" s="23">
        <f t="shared" si="1"/>
        <v>-13.674242424242316</v>
      </c>
      <c r="L23" s="59"/>
      <c r="M23" s="60" t="str">
        <f>IF(B23="","",IF(B23*2='Setup &amp; Summary'!$N$15,"midstation row!",""))</f>
        <v/>
      </c>
    </row>
    <row r="24" spans="1:16" x14ac:dyDescent="0.2">
      <c r="A24" s="69">
        <f t="shared" si="5"/>
        <v>15</v>
      </c>
      <c r="B24" s="57">
        <f>IF('Setup &amp; Summary'!$N$15&gt;A24,A!B23+1,"")</f>
        <v>16</v>
      </c>
      <c r="C24" s="71">
        <v>4.7</v>
      </c>
      <c r="D24" s="72">
        <v>4.8</v>
      </c>
      <c r="E24" s="72">
        <v>4.5999999999999996</v>
      </c>
      <c r="F24" s="25">
        <f t="shared" si="2"/>
        <v>4.7</v>
      </c>
      <c r="G24" s="21">
        <f t="shared" si="3"/>
        <v>-2.9666666666666668</v>
      </c>
      <c r="H24" s="25">
        <f t="shared" si="4"/>
        <v>-28.700000000000003</v>
      </c>
      <c r="I24" s="68">
        <f>IF(B24="","",IF(B24='Setup &amp; Summary'!$N$15,J24-H24,I25-$N$5))</f>
        <v>27.063636363636377</v>
      </c>
      <c r="J24" s="22">
        <f>IF(B24="","",IF(B24='Setup &amp; Summary'!$N$15,INDEX(A!J:J,MATCH(MAX(A!B:B),A!B:B)),I24+H24))</f>
        <v>-1.636363636363626</v>
      </c>
      <c r="K24" s="23">
        <f t="shared" si="1"/>
        <v>-16.36363636363626</v>
      </c>
      <c r="L24" s="59"/>
      <c r="M24" s="60" t="str">
        <f>IF(B24="","",IF(B24*2='Setup &amp; Summary'!$N$15,"midstation row!",""))</f>
        <v/>
      </c>
    </row>
    <row r="25" spans="1:16" x14ac:dyDescent="0.2">
      <c r="A25" s="69">
        <f t="shared" si="5"/>
        <v>16</v>
      </c>
      <c r="B25" s="57">
        <f>IF('Setup &amp; Summary'!$N$15&gt;A25,A!B24+1,"")</f>
        <v>17</v>
      </c>
      <c r="C25" s="71">
        <v>4.5999999999999996</v>
      </c>
      <c r="D25" s="72">
        <v>4.5</v>
      </c>
      <c r="E25" s="72">
        <v>4.5999999999999996</v>
      </c>
      <c r="F25" s="25">
        <f t="shared" si="2"/>
        <v>4.5666666666666664</v>
      </c>
      <c r="G25" s="21">
        <f t="shared" si="3"/>
        <v>-3.1000000000000005</v>
      </c>
      <c r="H25" s="25">
        <f t="shared" si="4"/>
        <v>-31.800000000000004</v>
      </c>
      <c r="I25" s="68">
        <f>IF(B25="","",IF(B25='Setup &amp; Summary'!$N$15,J25-H25,I26-$N$5))</f>
        <v>29.761363636363647</v>
      </c>
      <c r="J25" s="22">
        <f>IF(B25="","",IF(B25='Setup &amp; Summary'!$N$15,INDEX(A!J:J,MATCH(MAX(A!B:B),A!B:B)),I25+H25))</f>
        <v>-2.0386363636363569</v>
      </c>
      <c r="K25" s="23">
        <f t="shared" si="1"/>
        <v>-20.386363636363569</v>
      </c>
      <c r="L25" s="59"/>
      <c r="M25" s="60" t="str">
        <f>IF(B25="","",IF(B25*2='Setup &amp; Summary'!$N$15,"midstation row!",""))</f>
        <v/>
      </c>
    </row>
    <row r="26" spans="1:16" x14ac:dyDescent="0.2">
      <c r="A26" s="69">
        <f t="shared" si="5"/>
        <v>17</v>
      </c>
      <c r="B26" s="57">
        <f>IF('Setup &amp; Summary'!$N$15&gt;A26,A!B25+1,"")</f>
        <v>18</v>
      </c>
      <c r="C26" s="71">
        <v>2.8</v>
      </c>
      <c r="D26" s="72">
        <v>2.5</v>
      </c>
      <c r="E26" s="72">
        <v>2.6</v>
      </c>
      <c r="F26" s="25">
        <f t="shared" si="2"/>
        <v>2.6333333333333333</v>
      </c>
      <c r="G26" s="21">
        <f t="shared" si="3"/>
        <v>-5.0333333333333332</v>
      </c>
      <c r="H26" s="25">
        <f t="shared" si="4"/>
        <v>-36.833333333333336</v>
      </c>
      <c r="I26" s="68">
        <f>IF(B26="","",IF(B26='Setup &amp; Summary'!$N$15,J26-H26,I27-$N$5))</f>
        <v>32.459090909090918</v>
      </c>
      <c r="J26" s="22">
        <f>IF(B26="","",IF(B26='Setup &amp; Summary'!$N$15,INDEX(A!J:J,MATCH(MAX(A!B:B),A!B:B)),I26+H26))</f>
        <v>-4.3742424242424178</v>
      </c>
      <c r="K26" s="23">
        <f>IF(B26="","",J26*$N$7)</f>
        <v>-43.742424242424178</v>
      </c>
      <c r="L26" s="59"/>
      <c r="M26" s="60" t="str">
        <f>IF(B26="","",IF(B26*2='Setup &amp; Summary'!$N$15,"midstation row!",""))</f>
        <v/>
      </c>
    </row>
    <row r="27" spans="1:16" x14ac:dyDescent="0.2">
      <c r="A27" s="69">
        <f t="shared" si="5"/>
        <v>18</v>
      </c>
      <c r="B27" s="57">
        <f>IF('Setup &amp; Summary'!$N$15&gt;A27,A!B26+1,"")</f>
        <v>19</v>
      </c>
      <c r="C27" s="71">
        <v>4.5999999999999996</v>
      </c>
      <c r="D27" s="72">
        <v>4.4000000000000004</v>
      </c>
      <c r="E27" s="72">
        <v>4.5</v>
      </c>
      <c r="F27" s="25">
        <f t="shared" si="2"/>
        <v>4.5</v>
      </c>
      <c r="G27" s="21">
        <f t="shared" si="3"/>
        <v>-3.166666666666667</v>
      </c>
      <c r="H27" s="25">
        <f t="shared" si="4"/>
        <v>-40</v>
      </c>
      <c r="I27" s="68">
        <f>IF(B27="","",IF(B27='Setup &amp; Summary'!$N$15,J27-H27,I28-$N$5))</f>
        <v>35.156818181818188</v>
      </c>
      <c r="J27" s="22">
        <f>IF(B27="","",IF(B27='Setup &amp; Summary'!$N$15,INDEX(A!J:J,MATCH(MAX(A!B:B),A!B:B)),I27+H27))</f>
        <v>-4.8431818181818116</v>
      </c>
      <c r="K27" s="23">
        <f t="shared" si="1"/>
        <v>-48.431818181818116</v>
      </c>
      <c r="M27" s="60" t="str">
        <f>IF(B27="","",IF(B27*2='Setup &amp; Summary'!$N$15,"midstation row!",""))</f>
        <v/>
      </c>
    </row>
    <row r="28" spans="1:16" x14ac:dyDescent="0.2">
      <c r="A28" s="69">
        <f t="shared" si="5"/>
        <v>19</v>
      </c>
      <c r="B28" s="57">
        <f>IF('Setup &amp; Summary'!$N$15&gt;A28,A!B27+1,"")</f>
        <v>20</v>
      </c>
      <c r="C28" s="71">
        <v>3.4</v>
      </c>
      <c r="D28" s="72">
        <v>3.2</v>
      </c>
      <c r="E28" s="72">
        <v>3.6</v>
      </c>
      <c r="F28" s="25">
        <f>IF(B28="","",AVERAGE(C28:E28))</f>
        <v>3.4</v>
      </c>
      <c r="G28" s="21">
        <f>IF(B28="","",F28-$F$9)</f>
        <v>-4.2666666666666675</v>
      </c>
      <c r="H28" s="25">
        <f>IF(B28="","",H27+G28)</f>
        <v>-44.266666666666666</v>
      </c>
      <c r="I28" s="68">
        <f>IF(B28="","",IF(B28='Setup &amp; Summary'!$N$15,J28-H28,I29-$N$5))</f>
        <v>37.854545454545459</v>
      </c>
      <c r="J28" s="22">
        <f>IF(B28="","",IF(B28='Setup &amp; Summary'!$N$15,INDEX(A!J:J,MATCH(MAX(A!B:B),A!B:B)),I28+H28))</f>
        <v>-6.4121212121212068</v>
      </c>
      <c r="K28" s="23">
        <f t="shared" si="1"/>
        <v>-64.121212121212068</v>
      </c>
      <c r="M28" s="60" t="str">
        <f>IF(B28="","",IF(B28*2='Setup &amp; Summary'!$N$15,"midstation row!",""))</f>
        <v/>
      </c>
    </row>
    <row r="29" spans="1:16" x14ac:dyDescent="0.2">
      <c r="A29" s="69">
        <f t="shared" si="5"/>
        <v>20</v>
      </c>
      <c r="B29" s="57">
        <f>IF('Setup &amp; Summary'!$N$15&gt;A29,A!B28+1,"")</f>
        <v>21</v>
      </c>
      <c r="C29" s="71">
        <v>5.3</v>
      </c>
      <c r="D29" s="72">
        <v>5.0999999999999996</v>
      </c>
      <c r="E29" s="72">
        <v>5.4</v>
      </c>
      <c r="F29" s="25">
        <f t="shared" si="2"/>
        <v>5.2666666666666666</v>
      </c>
      <c r="G29" s="21">
        <f t="shared" si="3"/>
        <v>-2.4000000000000004</v>
      </c>
      <c r="H29" s="25">
        <f t="shared" si="4"/>
        <v>-46.666666666666664</v>
      </c>
      <c r="I29" s="68">
        <f>IF(B29="","",IF(B29='Setup &amp; Summary'!$N$15,J29-H29,I30-$N$5))</f>
        <v>40.552272727272729</v>
      </c>
      <c r="J29" s="22">
        <f>IF(B29="","",IF(B29='Setup &amp; Summary'!$N$15,INDEX(A!J:J,MATCH(MAX(A!B:B),A!B:B)),I29+H29))</f>
        <v>-6.1143939393939348</v>
      </c>
      <c r="K29" s="23">
        <f t="shared" si="1"/>
        <v>-61.143939393939348</v>
      </c>
      <c r="M29" s="60" t="str">
        <f>IF(B29="","",IF(B29*2='Setup &amp; Summary'!$N$15,"midstation row!",""))</f>
        <v/>
      </c>
    </row>
    <row r="30" spans="1:16" x14ac:dyDescent="0.2">
      <c r="A30" s="69">
        <f t="shared" si="5"/>
        <v>21</v>
      </c>
      <c r="B30" s="57">
        <f>IF('Setup &amp; Summary'!$N$15&gt;A30,A!B29+1,"")</f>
        <v>22</v>
      </c>
      <c r="C30" s="71">
        <v>4</v>
      </c>
      <c r="D30" s="72">
        <v>4.3</v>
      </c>
      <c r="E30" s="72">
        <v>4.2</v>
      </c>
      <c r="F30" s="25">
        <f t="shared" si="2"/>
        <v>4.166666666666667</v>
      </c>
      <c r="G30" s="21">
        <f t="shared" si="3"/>
        <v>-3.5</v>
      </c>
      <c r="H30" s="25">
        <f t="shared" si="4"/>
        <v>-50.166666666666664</v>
      </c>
      <c r="I30" s="68">
        <f>IF(B30="","",IF(B30='Setup &amp; Summary'!$N$15,J30-H30,I31-$N$5))</f>
        <v>43.25</v>
      </c>
      <c r="J30" s="22">
        <f>IF(B30="","",IF(B30='Setup &amp; Summary'!$N$15,INDEX(A!J:J,MATCH(MAX(A!B:B),A!B:B)),I30+H30))</f>
        <v>-6.916666666666667</v>
      </c>
      <c r="K30" s="23">
        <f t="shared" si="1"/>
        <v>-69.166666666666671</v>
      </c>
      <c r="M30" s="60" t="str">
        <f>IF(B30="","",IF(B30*2='Setup &amp; Summary'!$N$15,"midstation row!",""))</f>
        <v/>
      </c>
    </row>
    <row r="31" spans="1:16" x14ac:dyDescent="0.2">
      <c r="A31" s="69">
        <f t="shared" si="5"/>
        <v>22</v>
      </c>
      <c r="B31" s="57" t="str">
        <f>IF('Setup &amp; Summary'!$N$15&gt;A31,A!B30+1,"")</f>
        <v/>
      </c>
      <c r="C31" s="71"/>
      <c r="D31" s="72"/>
      <c r="E31" s="72"/>
      <c r="F31" s="25" t="str">
        <f t="shared" si="2"/>
        <v/>
      </c>
      <c r="G31" s="21" t="str">
        <f t="shared" si="3"/>
        <v/>
      </c>
      <c r="H31" s="25" t="str">
        <f t="shared" si="4"/>
        <v/>
      </c>
      <c r="I31" s="68" t="str">
        <f>IF(B31="","",IF(B31='Setup &amp; Summary'!$N$15,J31-H31,I32-$N$5))</f>
        <v/>
      </c>
      <c r="J31" s="22" t="str">
        <f>IF(B31="","",IF(B31='Setup &amp; Summary'!$N$15,INDEX(A!J:J,MATCH(MAX(A!B:B),A!B:B)),I31+H31))</f>
        <v/>
      </c>
      <c r="K31" s="23" t="str">
        <f t="shared" si="1"/>
        <v/>
      </c>
      <c r="M31" s="60" t="str">
        <f>IF(B31="","",IF(B31*2='Setup &amp; Summary'!$N$15,"midstation row!",""))</f>
        <v/>
      </c>
    </row>
    <row r="32" spans="1:16" x14ac:dyDescent="0.2">
      <c r="A32" s="69">
        <f t="shared" si="5"/>
        <v>23</v>
      </c>
      <c r="B32" s="57" t="str">
        <f>IF('Setup &amp; Summary'!$N$15&gt;A32,A!B31+1,"")</f>
        <v/>
      </c>
      <c r="C32" s="71"/>
      <c r="D32" s="72"/>
      <c r="E32" s="72"/>
      <c r="F32" s="25" t="str">
        <f t="shared" si="2"/>
        <v/>
      </c>
      <c r="G32" s="21" t="str">
        <f t="shared" si="3"/>
        <v/>
      </c>
      <c r="H32" s="25" t="str">
        <f t="shared" si="4"/>
        <v/>
      </c>
      <c r="I32" s="68" t="str">
        <f>IF(B32="","",IF(B32='Setup &amp; Summary'!$N$15,J32-H32,I33-$N$5))</f>
        <v/>
      </c>
      <c r="J32" s="22" t="str">
        <f>IF(B32="","",IF(B32='Setup &amp; Summary'!$N$15,INDEX(A!J:J,MATCH(MAX(A!B:B),A!B:B)),I32+H32))</f>
        <v/>
      </c>
      <c r="K32" s="23" t="str">
        <f t="shared" si="1"/>
        <v/>
      </c>
      <c r="M32" s="60" t="str">
        <f>IF(B32="","",IF(B32*2='Setup &amp; Summary'!$N$15,"midstation row!",""))</f>
        <v/>
      </c>
    </row>
    <row r="33" spans="1:13" x14ac:dyDescent="0.2">
      <c r="A33" s="69">
        <f t="shared" si="5"/>
        <v>24</v>
      </c>
      <c r="B33" s="57" t="str">
        <f>IF('Setup &amp; Summary'!$N$15&gt;A33,A!B32+1,"")</f>
        <v/>
      </c>
      <c r="C33" s="71"/>
      <c r="D33" s="72"/>
      <c r="E33" s="72"/>
      <c r="F33" s="25" t="str">
        <f t="shared" si="2"/>
        <v/>
      </c>
      <c r="G33" s="21" t="str">
        <f t="shared" si="3"/>
        <v/>
      </c>
      <c r="H33" s="25" t="str">
        <f t="shared" si="4"/>
        <v/>
      </c>
      <c r="I33" s="68" t="str">
        <f>IF(B33="","",IF(B33='Setup &amp; Summary'!$N$15,J33-H33,I34-$N$5))</f>
        <v/>
      </c>
      <c r="J33" s="22" t="str">
        <f>IF(B33="","",IF(B33='Setup &amp; Summary'!$N$15,INDEX(A!J:J,MATCH(MAX(A!B:B),A!B:B)),I33+H33))</f>
        <v/>
      </c>
      <c r="K33" s="23" t="str">
        <f t="shared" si="1"/>
        <v/>
      </c>
      <c r="M33" s="60" t="str">
        <f>IF(B33="","",IF(B33*2='Setup &amp; Summary'!$N$15,"midstation row!",""))</f>
        <v/>
      </c>
    </row>
    <row r="34" spans="1:13" x14ac:dyDescent="0.2">
      <c r="A34" s="69">
        <f t="shared" si="5"/>
        <v>25</v>
      </c>
      <c r="B34" s="57" t="str">
        <f>IF('Setup &amp; Summary'!$N$15&gt;A34,A!B33+1,"")</f>
        <v/>
      </c>
      <c r="C34" s="71"/>
      <c r="D34" s="72"/>
      <c r="E34" s="72"/>
      <c r="F34" s="25" t="str">
        <f t="shared" si="2"/>
        <v/>
      </c>
      <c r="G34" s="21" t="str">
        <f t="shared" si="3"/>
        <v/>
      </c>
      <c r="H34" s="25" t="str">
        <f t="shared" si="4"/>
        <v/>
      </c>
      <c r="I34" s="68" t="str">
        <f>IF(B34="","",IF(B34='Setup &amp; Summary'!$N$15,J34-H34,I35-$N$5))</f>
        <v/>
      </c>
      <c r="J34" s="22" t="str">
        <f>IF(B34="","",IF(B34='Setup &amp; Summary'!$N$15,INDEX(A!J:J,MATCH(MAX(A!B:B),A!B:B)),I34+H34))</f>
        <v/>
      </c>
      <c r="K34" s="23" t="str">
        <f t="shared" si="1"/>
        <v/>
      </c>
      <c r="M34" s="60" t="str">
        <f>IF(B34="","",IF(B34*2='Setup &amp; Summary'!$N$15,"midstation row!",""))</f>
        <v/>
      </c>
    </row>
    <row r="35" spans="1:13" x14ac:dyDescent="0.2">
      <c r="A35" s="69">
        <f t="shared" si="5"/>
        <v>26</v>
      </c>
      <c r="B35" s="57" t="str">
        <f>IF('Setup &amp; Summary'!$N$15&gt;A35,A!B34+1,"")</f>
        <v/>
      </c>
      <c r="C35" s="71"/>
      <c r="D35" s="72"/>
      <c r="E35" s="72"/>
      <c r="F35" s="25" t="str">
        <f t="shared" si="2"/>
        <v/>
      </c>
      <c r="G35" s="21" t="str">
        <f t="shared" si="3"/>
        <v/>
      </c>
      <c r="H35" s="25" t="str">
        <f t="shared" si="4"/>
        <v/>
      </c>
      <c r="I35" s="68" t="str">
        <f>IF(B35="","",IF(B35='Setup &amp; Summary'!$N$15,J35-H35,I36-$N$5))</f>
        <v/>
      </c>
      <c r="J35" s="22" t="str">
        <f>IF(B35="","",IF(B35='Setup &amp; Summary'!$N$15,INDEX(A!J:J,MATCH(MAX(A!B:B),A!B:B)),I35+H35))</f>
        <v/>
      </c>
      <c r="K35" s="23" t="str">
        <f t="shared" si="1"/>
        <v/>
      </c>
      <c r="M35" s="60" t="str">
        <f>IF(B35="","",IF(B35*2='Setup &amp; Summary'!$N$15,"midstation row!",""))</f>
        <v/>
      </c>
    </row>
    <row r="36" spans="1:13" x14ac:dyDescent="0.2">
      <c r="A36" s="69">
        <f t="shared" si="5"/>
        <v>27</v>
      </c>
      <c r="B36" s="57" t="str">
        <f>IF('Setup &amp; Summary'!$N$15&gt;A36,A!B35+1,"")</f>
        <v/>
      </c>
      <c r="C36" s="71"/>
      <c r="D36" s="72"/>
      <c r="E36" s="72"/>
      <c r="F36" s="25" t="str">
        <f t="shared" si="2"/>
        <v/>
      </c>
      <c r="G36" s="21" t="str">
        <f t="shared" si="3"/>
        <v/>
      </c>
      <c r="H36" s="25" t="str">
        <f t="shared" si="4"/>
        <v/>
      </c>
      <c r="I36" s="68" t="str">
        <f>IF(B36="","",IF(B36='Setup &amp; Summary'!$N$15,J36-H36,I37-$N$5))</f>
        <v/>
      </c>
      <c r="J36" s="22" t="str">
        <f>IF(B36="","",IF(B36='Setup &amp; Summary'!$N$15,INDEX(A!J:J,MATCH(MAX(A!B:B),A!B:B)),I36+H36))</f>
        <v/>
      </c>
      <c r="K36" s="23" t="str">
        <f t="shared" si="1"/>
        <v/>
      </c>
      <c r="M36" s="60" t="str">
        <f>IF(B36="","",IF(B36*2='Setup &amp; Summary'!$N$15,"midstation row!",""))</f>
        <v/>
      </c>
    </row>
    <row r="37" spans="1:13" x14ac:dyDescent="0.2">
      <c r="A37" s="69">
        <f t="shared" si="5"/>
        <v>28</v>
      </c>
      <c r="B37" s="57" t="str">
        <f>IF('Setup &amp; Summary'!$N$15&gt;A37,A!B36+1,"")</f>
        <v/>
      </c>
      <c r="C37" s="71"/>
      <c r="D37" s="72"/>
      <c r="E37" s="72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68" t="str">
        <f>IF(B37="","",IF(B37='Setup &amp; Summary'!$N$15,J37-H37,I38-$N$5))</f>
        <v/>
      </c>
      <c r="J37" s="22" t="str">
        <f>IF(B37="","",IF(B37='Setup &amp; Summary'!$N$15,INDEX(A!J:J,MATCH(MAX(A!B:B),A!B:B)),I37+H37))</f>
        <v/>
      </c>
      <c r="K37" s="23" t="str">
        <f t="shared" si="1"/>
        <v/>
      </c>
      <c r="M37" s="60" t="str">
        <f>IF(B37="","",IF(B37*2='Setup &amp; Summary'!$N$15,"midstation row!",""))</f>
        <v/>
      </c>
    </row>
    <row r="38" spans="1:13" x14ac:dyDescent="0.2">
      <c r="A38" s="69">
        <f t="shared" si="5"/>
        <v>29</v>
      </c>
      <c r="B38" s="57" t="str">
        <f>IF('Setup &amp; Summary'!$N$15&gt;A38,A!B37+1,"")</f>
        <v/>
      </c>
      <c r="C38" s="71"/>
      <c r="D38" s="72"/>
      <c r="E38" s="72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68" t="str">
        <f>IF(B38="","",IF(B38='Setup &amp; Summary'!$N$15,J38-H38,I39-$N$5))</f>
        <v/>
      </c>
      <c r="J38" s="22" t="str">
        <f>IF(B38="","",IF(B38='Setup &amp; Summary'!$N$15,INDEX(A!J:J,MATCH(MAX(A!B:B),A!B:B)),I38+H38))</f>
        <v/>
      </c>
      <c r="K38" s="23" t="str">
        <f t="shared" si="1"/>
        <v/>
      </c>
      <c r="M38" s="60" t="str">
        <f>IF(B38="","",IF(B38*2='Setup &amp; Summary'!$N$15,"midstation row!",""))</f>
        <v/>
      </c>
    </row>
    <row r="39" spans="1:13" x14ac:dyDescent="0.2">
      <c r="A39" s="69">
        <f t="shared" si="5"/>
        <v>30</v>
      </c>
      <c r="B39" s="57" t="str">
        <f>IF('Setup &amp; Summary'!$N$15&gt;A39,A!B38+1,"")</f>
        <v/>
      </c>
      <c r="C39" s="71"/>
      <c r="D39" s="72"/>
      <c r="E39" s="72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68" t="str">
        <f>IF(B39="","",IF(B39='Setup &amp; Summary'!$N$15,J39-H39,I40-$N$5))</f>
        <v/>
      </c>
      <c r="J39" s="22" t="str">
        <f>IF(B39="","",IF(B39='Setup &amp; Summary'!$N$15,INDEX(A!J:J,MATCH(MAX(A!B:B),A!B:B)),I39+H39))</f>
        <v/>
      </c>
      <c r="K39" s="23" t="str">
        <f t="shared" si="1"/>
        <v/>
      </c>
      <c r="M39" s="60" t="str">
        <f>IF(B39="","",IF(B39*2='Setup &amp; Summary'!$N$15,"midstation row!",""))</f>
        <v/>
      </c>
    </row>
    <row r="40" spans="1:13" x14ac:dyDescent="0.2">
      <c r="A40" s="69">
        <f t="shared" si="5"/>
        <v>31</v>
      </c>
      <c r="B40" s="57" t="str">
        <f>IF('Setup &amp; Summary'!$N$15&gt;A40,A!B39+1,"")</f>
        <v/>
      </c>
      <c r="C40" s="71"/>
      <c r="D40" s="72"/>
      <c r="E40" s="72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68" t="str">
        <f>IF(B40="","",IF(B40='Setup &amp; Summary'!$N$15,J40-H40,I41-$N$5))</f>
        <v/>
      </c>
      <c r="J40" s="22" t="str">
        <f>IF(B40="","",IF(B40='Setup &amp; Summary'!$N$15,INDEX(A!J:J,MATCH(MAX(A!B:B),A!B:B)),I40+H40))</f>
        <v/>
      </c>
      <c r="K40" s="23" t="str">
        <f t="shared" si="1"/>
        <v/>
      </c>
      <c r="M40" s="60" t="str">
        <f>IF(B40="","",IF(B40*2='Setup &amp; Summary'!$N$15,"midstation row!",""))</f>
        <v/>
      </c>
    </row>
    <row r="41" spans="1:13" x14ac:dyDescent="0.2">
      <c r="A41" s="69">
        <f t="shared" si="5"/>
        <v>32</v>
      </c>
      <c r="B41" s="57" t="str">
        <f>IF('Setup &amp; Summary'!$N$15&gt;A41,A!B40+1,"")</f>
        <v/>
      </c>
      <c r="C41" s="71"/>
      <c r="D41" s="72"/>
      <c r="E41" s="72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68" t="str">
        <f>IF(B41="","",IF(B41='Setup &amp; Summary'!$N$15,J41-H41,I42-$N$5))</f>
        <v/>
      </c>
      <c r="J41" s="22" t="str">
        <f>IF(B41="","",IF(B41='Setup &amp; Summary'!$N$15,INDEX(A!J:J,MATCH(MAX(A!B:B),A!B:B)),I41+H41))</f>
        <v/>
      </c>
      <c r="K41" s="23" t="str">
        <f t="shared" si="1"/>
        <v/>
      </c>
      <c r="M41" s="60" t="str">
        <f>IF(B41="","",IF(B41*2='Setup &amp; Summary'!$N$15,"midstation row!",""))</f>
        <v/>
      </c>
    </row>
    <row r="42" spans="1:13" x14ac:dyDescent="0.2">
      <c r="A42" s="69">
        <f t="shared" si="5"/>
        <v>33</v>
      </c>
      <c r="B42" s="57" t="str">
        <f>IF('Setup &amp; Summary'!$N$15&gt;A42,A!B41+1,"")</f>
        <v/>
      </c>
      <c r="C42" s="71"/>
      <c r="D42" s="72"/>
      <c r="E42" s="72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68" t="str">
        <f>IF(B42="","",IF(B42='Setup &amp; Summary'!$N$15,J42-H42,I43-$N$5))</f>
        <v/>
      </c>
      <c r="J42" s="22" t="str">
        <f>IF(B42="","",IF(B42='Setup &amp; Summary'!$N$15,INDEX(A!J:J,MATCH(MAX(A!B:B),A!B:B)),I42+H42))</f>
        <v/>
      </c>
      <c r="K42" s="23" t="str">
        <f t="shared" si="1"/>
        <v/>
      </c>
      <c r="M42" s="60" t="str">
        <f>IF(B42="","",IF(B42*2='Setup &amp; Summary'!$N$15,"midstation row!",""))</f>
        <v/>
      </c>
    </row>
    <row r="43" spans="1:13" x14ac:dyDescent="0.2">
      <c r="A43" s="69">
        <f t="shared" si="5"/>
        <v>34</v>
      </c>
      <c r="B43" s="57" t="str">
        <f>IF('Setup &amp; Summary'!$N$15&gt;A43,A!B42+1,"")</f>
        <v/>
      </c>
      <c r="C43" s="71"/>
      <c r="D43" s="72"/>
      <c r="E43" s="72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68" t="str">
        <f>IF(B43="","",IF(B43='Setup &amp; Summary'!$N$15,J43-H43,I44-$N$5))</f>
        <v/>
      </c>
      <c r="J43" s="22" t="str">
        <f>IF(B43="","",IF(B43='Setup &amp; Summary'!$N$15,INDEX(A!J:J,MATCH(MAX(A!B:B),A!B:B)),I43+H43))</f>
        <v/>
      </c>
      <c r="K43" s="23" t="str">
        <f t="shared" si="1"/>
        <v/>
      </c>
      <c r="M43" s="60" t="str">
        <f>IF(B43="","",IF(B43*2='Setup &amp; Summary'!$N$15,"midstation row!",""))</f>
        <v/>
      </c>
    </row>
    <row r="44" spans="1:13" x14ac:dyDescent="0.2">
      <c r="A44" s="69">
        <f t="shared" si="5"/>
        <v>35</v>
      </c>
      <c r="B44" s="57" t="str">
        <f>IF('Setup &amp; Summary'!$N$15&gt;A44,A!B43+1,"")</f>
        <v/>
      </c>
      <c r="C44" s="71"/>
      <c r="D44" s="72"/>
      <c r="E44" s="72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68" t="str">
        <f>IF(B44="","",IF(B44='Setup &amp; Summary'!$N$15,J44-H44,I45-$N$5))</f>
        <v/>
      </c>
      <c r="J44" s="22" t="str">
        <f>IF(B44="","",IF(B44='Setup &amp; Summary'!$N$15,INDEX(A!J:J,MATCH(MAX(A!B:B),A!B:B)),I44+H44))</f>
        <v/>
      </c>
      <c r="K44" s="23" t="str">
        <f t="shared" si="1"/>
        <v/>
      </c>
      <c r="M44" s="60" t="str">
        <f>IF(B44="","",IF(B44*2='Setup &amp; Summary'!$N$15,"midstation row!",""))</f>
        <v/>
      </c>
    </row>
    <row r="45" spans="1:13" x14ac:dyDescent="0.2">
      <c r="A45" s="69">
        <f t="shared" si="5"/>
        <v>36</v>
      </c>
      <c r="B45" s="57" t="str">
        <f>IF('Setup &amp; Summary'!$N$15&gt;A45,A!B44+1,"")</f>
        <v/>
      </c>
      <c r="C45" s="71"/>
      <c r="D45" s="72"/>
      <c r="E45" s="72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68" t="str">
        <f>IF(B45="","",IF(B45='Setup &amp; Summary'!$N$15,J45-H45,I46-$N$5))</f>
        <v/>
      </c>
      <c r="J45" s="22" t="str">
        <f>IF(B45="","",IF(B45='Setup &amp; Summary'!$N$15,INDEX(A!J:J,MATCH(MAX(A!B:B),A!B:B)),I45+H45))</f>
        <v/>
      </c>
      <c r="K45" s="23" t="str">
        <f t="shared" si="1"/>
        <v/>
      </c>
      <c r="M45" s="60" t="str">
        <f>IF(B45="","",IF(B45*2='Setup &amp; Summary'!$N$15,"midstation row!",""))</f>
        <v/>
      </c>
    </row>
    <row r="46" spans="1:13" x14ac:dyDescent="0.2">
      <c r="A46" s="69">
        <f t="shared" si="5"/>
        <v>37</v>
      </c>
      <c r="B46" s="57" t="str">
        <f>IF('Setup &amp; Summary'!$N$15&gt;A46,A!B45+1,"")</f>
        <v/>
      </c>
      <c r="C46" s="71"/>
      <c r="D46" s="72"/>
      <c r="E46" s="72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68" t="str">
        <f>IF(B46="","",IF(B46='Setup &amp; Summary'!$N$15,J46-H46,I47-$N$5))</f>
        <v/>
      </c>
      <c r="J46" s="22" t="str">
        <f>IF(B46="","",IF(B46='Setup &amp; Summary'!$N$15,INDEX(A!J:J,MATCH(MAX(A!B:B),A!B:B)),I46+H46))</f>
        <v/>
      </c>
      <c r="K46" s="23" t="str">
        <f t="shared" si="1"/>
        <v/>
      </c>
      <c r="M46" s="60" t="str">
        <f>IF(B46="","",IF(B46*2='Setup &amp; Summary'!$N$15,"midstation row!",""))</f>
        <v/>
      </c>
    </row>
    <row r="47" spans="1:13" x14ac:dyDescent="0.2">
      <c r="A47" s="69">
        <f t="shared" si="5"/>
        <v>38</v>
      </c>
      <c r="B47" s="57" t="str">
        <f>IF('Setup &amp; Summary'!$N$15&gt;A47,A!B46+1,"")</f>
        <v/>
      </c>
      <c r="C47" s="71"/>
      <c r="D47" s="72"/>
      <c r="E47" s="72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68" t="str">
        <f>IF(B47="","",IF(B47='Setup &amp; Summary'!$N$15,J47-H47,I48-$N$5))</f>
        <v/>
      </c>
      <c r="J47" s="22" t="str">
        <f>IF(B47="","",IF(B47='Setup &amp; Summary'!$N$15,INDEX(A!J:J,MATCH(MAX(A!B:B),A!B:B)),I47+H47))</f>
        <v/>
      </c>
      <c r="K47" s="23" t="str">
        <f t="shared" si="1"/>
        <v/>
      </c>
      <c r="M47" s="60" t="str">
        <f>IF(B47="","",IF(B47*2='Setup &amp; Summary'!$N$15,"midstation row!",""))</f>
        <v/>
      </c>
    </row>
    <row r="48" spans="1:13" x14ac:dyDescent="0.2">
      <c r="A48" s="69">
        <f t="shared" si="5"/>
        <v>39</v>
      </c>
      <c r="B48" s="57" t="str">
        <f>IF('Setup &amp; Summary'!$N$15&gt;A48,A!B47+1,"")</f>
        <v/>
      </c>
      <c r="C48" s="71"/>
      <c r="D48" s="72"/>
      <c r="E48" s="72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68" t="str">
        <f>IF(B48="","",IF(B48='Setup &amp; Summary'!$N$15,J48-H48,I49-$N$5))</f>
        <v/>
      </c>
      <c r="J48" s="22" t="str">
        <f>IF(B48="","",IF(B48='Setup &amp; Summary'!$N$15,INDEX(A!J:J,MATCH(MAX(A!B:B),A!B:B)),I48+H48))</f>
        <v/>
      </c>
      <c r="K48" s="23" t="str">
        <f t="shared" si="1"/>
        <v/>
      </c>
      <c r="M48" s="60" t="str">
        <f>IF(B48="","",IF(B48*2='Setup &amp; Summary'!$N$15,"midstation row!",""))</f>
        <v/>
      </c>
    </row>
    <row r="49" spans="1:13" x14ac:dyDescent="0.2">
      <c r="A49" s="69">
        <f t="shared" si="5"/>
        <v>40</v>
      </c>
      <c r="B49" s="57" t="str">
        <f>IF('Setup &amp; Summary'!$N$15&gt;A49,A!B48+1,"")</f>
        <v/>
      </c>
      <c r="C49" s="71"/>
      <c r="D49" s="72"/>
      <c r="E49" s="72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68" t="str">
        <f>IF(B49="","",IF(B49='Setup &amp; Summary'!$N$15,J49-H49,I50-$N$5))</f>
        <v/>
      </c>
      <c r="J49" s="22" t="str">
        <f>IF(B49="","",IF(B49='Setup &amp; Summary'!$N$15,INDEX(A!J:J,MATCH(MAX(A!B:B),A!B:B)),I49+H49))</f>
        <v/>
      </c>
      <c r="K49" s="23" t="str">
        <f t="shared" si="1"/>
        <v/>
      </c>
      <c r="M49" s="60" t="str">
        <f>IF(B49="","",IF(B49*2='Setup &amp; Summary'!$N$15,"midstation row!",""))</f>
        <v/>
      </c>
    </row>
    <row r="50" spans="1:13" x14ac:dyDescent="0.2">
      <c r="A50" s="69">
        <f t="shared" si="5"/>
        <v>41</v>
      </c>
      <c r="B50" s="57" t="str">
        <f>IF('Setup &amp; Summary'!$N$15&gt;A50,A!B49+1,"")</f>
        <v/>
      </c>
      <c r="C50" s="71"/>
      <c r="D50" s="72"/>
      <c r="E50" s="72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68" t="str">
        <f>IF(B50="","",IF(B50='Setup &amp; Summary'!$N$15,J50-H50,I51-$N$5))</f>
        <v/>
      </c>
      <c r="J50" s="22" t="str">
        <f>IF(B50="","",IF(B50='Setup &amp; Summary'!$N$15,INDEX(A!J:J,MATCH(MAX(A!B:B),A!B:B)),I50+H50))</f>
        <v/>
      </c>
      <c r="K50" s="23" t="str">
        <f t="shared" si="1"/>
        <v/>
      </c>
      <c r="M50" s="60" t="str">
        <f>IF(B50="","",IF(B50*2='Setup &amp; Summary'!$N$15,"midstation row!",""))</f>
        <v/>
      </c>
    </row>
    <row r="51" spans="1:13" x14ac:dyDescent="0.2">
      <c r="A51" s="69">
        <f t="shared" si="5"/>
        <v>42</v>
      </c>
      <c r="B51" s="57" t="str">
        <f>IF('Setup &amp; Summary'!$N$15&gt;A51,A!B50+1,"")</f>
        <v/>
      </c>
      <c r="C51" s="71"/>
      <c r="D51" s="72"/>
      <c r="E51" s="72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68" t="str">
        <f>IF(B51="","",IF(B51='Setup &amp; Summary'!$N$15,J51-H51,I52-$N$5))</f>
        <v/>
      </c>
      <c r="J51" s="22" t="str">
        <f>IF(B51="","",IF(B51='Setup &amp; Summary'!$N$15,INDEX(A!J:J,MATCH(MAX(A!B:B),A!B:B)),I51+H51))</f>
        <v/>
      </c>
      <c r="K51" s="23" t="str">
        <f t="shared" si="1"/>
        <v/>
      </c>
      <c r="M51" s="60" t="str">
        <f>IF(B51="","",IF(B51*2='Setup &amp; Summary'!$N$15,"midstation row!",""))</f>
        <v/>
      </c>
    </row>
    <row r="52" spans="1:13" x14ac:dyDescent="0.2">
      <c r="A52" s="69">
        <f t="shared" si="5"/>
        <v>43</v>
      </c>
      <c r="B52" s="57" t="str">
        <f>IF('Setup &amp; Summary'!$N$15&gt;A52,A!B51+1,"")</f>
        <v/>
      </c>
      <c r="C52" s="71"/>
      <c r="D52" s="72"/>
      <c r="E52" s="72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68" t="str">
        <f>IF(B52="","",IF(B52='Setup &amp; Summary'!$N$15,J52-H52,I53-$N$5))</f>
        <v/>
      </c>
      <c r="J52" s="22" t="str">
        <f>IF(B52="","",IF(B52='Setup &amp; Summary'!$N$15,INDEX(A!J:J,MATCH(MAX(A!B:B),A!B:B)),I52+H52))</f>
        <v/>
      </c>
      <c r="K52" s="23" t="str">
        <f t="shared" si="1"/>
        <v/>
      </c>
      <c r="M52" s="60" t="str">
        <f>IF(B52="","",IF(B52*2='Setup &amp; Summary'!$N$15,"midstation row!",""))</f>
        <v/>
      </c>
    </row>
    <row r="53" spans="1:13" x14ac:dyDescent="0.2">
      <c r="A53" s="69">
        <f t="shared" si="5"/>
        <v>44</v>
      </c>
      <c r="B53" s="57" t="str">
        <f>IF('Setup &amp; Summary'!$N$15&gt;A53,A!B52+1,"")</f>
        <v/>
      </c>
      <c r="C53" s="71"/>
      <c r="D53" s="72"/>
      <c r="E53" s="72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68" t="str">
        <f>IF(B53="","",IF(B53='Setup &amp; Summary'!$N$15,J53-H53,I54-$N$5))</f>
        <v/>
      </c>
      <c r="J53" s="22" t="str">
        <f>IF(B53="","",IF(B53='Setup &amp; Summary'!$N$15,INDEX(A!J:J,MATCH(MAX(A!B:B),A!B:B)),I53+H53))</f>
        <v/>
      </c>
      <c r="K53" s="23" t="str">
        <f t="shared" si="1"/>
        <v/>
      </c>
      <c r="M53" s="60" t="str">
        <f>IF(B53="","",IF(B53*2='Setup &amp; Summary'!$N$15,"midstation row!",""))</f>
        <v/>
      </c>
    </row>
    <row r="54" spans="1:13" x14ac:dyDescent="0.2">
      <c r="A54" s="69">
        <f t="shared" si="5"/>
        <v>45</v>
      </c>
      <c r="B54" s="57" t="str">
        <f>IF('Setup &amp; Summary'!$N$15&gt;A54,A!B53+1,"")</f>
        <v/>
      </c>
      <c r="C54" s="71"/>
      <c r="D54" s="72"/>
      <c r="E54" s="72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68" t="str">
        <f>IF(B54="","",IF(B54='Setup &amp; Summary'!$N$15,J54-H54,I55-$N$5))</f>
        <v/>
      </c>
      <c r="J54" s="22" t="str">
        <f>IF(B54="","",IF(B54='Setup &amp; Summary'!$N$15,INDEX(A!J:J,MATCH(MAX(A!B:B),A!B:B)),I54+H54))</f>
        <v/>
      </c>
      <c r="K54" s="23" t="str">
        <f t="shared" si="1"/>
        <v/>
      </c>
      <c r="M54" s="60" t="str">
        <f>IF(B54="","",IF(B54*2='Setup &amp; Summary'!$N$15,"midstation row!",""))</f>
        <v/>
      </c>
    </row>
    <row r="55" spans="1:13" x14ac:dyDescent="0.2">
      <c r="A55" s="69">
        <f t="shared" si="5"/>
        <v>46</v>
      </c>
      <c r="B55" s="57" t="str">
        <f>IF('Setup &amp; Summary'!$N$15&gt;A55,A!B54+1,"")</f>
        <v/>
      </c>
      <c r="C55" s="71"/>
      <c r="D55" s="72"/>
      <c r="E55" s="72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68" t="str">
        <f>IF(B55="","",IF(B55='Setup &amp; Summary'!$N$15,J55-H55,I56-$N$5))</f>
        <v/>
      </c>
      <c r="J55" s="22" t="str">
        <f>IF(B55="","",IF(B55='Setup &amp; Summary'!$N$15,INDEX(A!J:J,MATCH(MAX(A!B:B),A!B:B)),I55+H55))</f>
        <v/>
      </c>
      <c r="K55" s="23" t="str">
        <f t="shared" si="1"/>
        <v/>
      </c>
      <c r="M55" s="60" t="str">
        <f>IF(B55="","",IF(B55*2='Setup &amp; Summary'!$N$15,"midstation row!",""))</f>
        <v/>
      </c>
    </row>
    <row r="56" spans="1:13" x14ac:dyDescent="0.2">
      <c r="A56" s="69">
        <f t="shared" si="5"/>
        <v>47</v>
      </c>
      <c r="B56" s="57" t="str">
        <f>IF('Setup &amp; Summary'!$N$15&gt;A56,A!B55+1,"")</f>
        <v/>
      </c>
      <c r="C56" s="71"/>
      <c r="D56" s="72"/>
      <c r="E56" s="72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68" t="str">
        <f>IF(B56="","",IF(B56='Setup &amp; Summary'!$N$15,J56-H56,I57-$N$5))</f>
        <v/>
      </c>
      <c r="J56" s="22" t="str">
        <f>IF(B56="","",IF(B56='Setup &amp; Summary'!$N$15,INDEX(A!J:J,MATCH(MAX(A!B:B),A!B:B)),I56+H56))</f>
        <v/>
      </c>
      <c r="K56" s="23" t="str">
        <f t="shared" si="1"/>
        <v/>
      </c>
      <c r="M56" s="60" t="str">
        <f>IF(B56="","",IF(B56*2='Setup &amp; Summary'!$N$15,"midstation row!",""))</f>
        <v/>
      </c>
    </row>
    <row r="57" spans="1:13" x14ac:dyDescent="0.2">
      <c r="A57" s="69">
        <f t="shared" si="5"/>
        <v>48</v>
      </c>
      <c r="B57" s="57" t="str">
        <f>IF('Setup &amp; Summary'!$N$15&gt;A57,A!B56+1,"")</f>
        <v/>
      </c>
      <c r="C57" s="71"/>
      <c r="D57" s="72"/>
      <c r="E57" s="72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68" t="str">
        <f>IF(B57="","",IF(B57='Setup &amp; Summary'!$N$15,J57-H57,I58-$N$5))</f>
        <v/>
      </c>
      <c r="J57" s="22" t="str">
        <f>IF(B57="","",IF(B57='Setup &amp; Summary'!$N$15,INDEX(A!J:J,MATCH(MAX(A!B:B),A!B:B)),I57+H57))</f>
        <v/>
      </c>
      <c r="K57" s="23" t="str">
        <f t="shared" si="1"/>
        <v/>
      </c>
      <c r="M57" s="60" t="str">
        <f>IF(B57="","",IF(B57*2='Setup &amp; Summary'!$N$15,"midstation row!",""))</f>
        <v/>
      </c>
    </row>
    <row r="58" spans="1:13" x14ac:dyDescent="0.2">
      <c r="A58" s="69">
        <f t="shared" si="5"/>
        <v>49</v>
      </c>
      <c r="B58" s="57" t="str">
        <f>IF('Setup &amp; Summary'!$N$15&gt;A58,A!B57+1,"")</f>
        <v/>
      </c>
      <c r="C58" s="71"/>
      <c r="D58" s="72"/>
      <c r="E58" s="72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68" t="str">
        <f>IF(B58="","",IF(B58='Setup &amp; Summary'!$N$15,J58-H58,I59-$N$5))</f>
        <v/>
      </c>
      <c r="J58" s="22" t="str">
        <f>IF(B58="","",IF(B58='Setup &amp; Summary'!$N$15,INDEX(A!J:J,MATCH(MAX(A!B:B),A!B:B)),I58+H58))</f>
        <v/>
      </c>
      <c r="K58" s="23" t="str">
        <f t="shared" si="1"/>
        <v/>
      </c>
      <c r="M58" s="60" t="str">
        <f>IF(B58="","",IF(B58*2='Setup &amp; Summary'!$N$15,"midstation row!",""))</f>
        <v/>
      </c>
    </row>
    <row r="59" spans="1:13" x14ac:dyDescent="0.2">
      <c r="A59" s="69">
        <f t="shared" si="5"/>
        <v>50</v>
      </c>
      <c r="B59" s="57" t="str">
        <f>IF('Setup &amp; Summary'!$N$15&gt;A59,A!B58+1,"")</f>
        <v/>
      </c>
      <c r="C59" s="71"/>
      <c r="D59" s="72"/>
      <c r="E59" s="72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68" t="str">
        <f>IF(B59="","",IF(B59='Setup &amp; Summary'!$N$15,J59-H59,I60-$N$5))</f>
        <v/>
      </c>
      <c r="J59" s="22" t="str">
        <f>IF(B59="","",IF(B59='Setup &amp; Summary'!$N$15,INDEX(A!J:J,MATCH(MAX(A!B:B),A!B:B)),I59+H59))</f>
        <v/>
      </c>
      <c r="K59" s="23" t="str">
        <f t="shared" si="1"/>
        <v/>
      </c>
      <c r="M59" s="60" t="str">
        <f>IF(B59="","",IF(B59*2='Setup &amp; Summary'!$N$15,"midstation row!",""))</f>
        <v/>
      </c>
    </row>
    <row r="60" spans="1:13" x14ac:dyDescent="0.2">
      <c r="A60" s="69">
        <f t="shared" si="5"/>
        <v>51</v>
      </c>
      <c r="B60" s="57" t="str">
        <f>IF('Setup &amp; Summary'!$N$15&gt;A60,A!B59+1,"")</f>
        <v/>
      </c>
      <c r="C60" s="71"/>
      <c r="D60" s="72"/>
      <c r="E60" s="72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68" t="str">
        <f>IF(B60="","",IF(B60='Setup &amp; Summary'!$N$15,J60-H60,I61-$N$5))</f>
        <v/>
      </c>
      <c r="J60" s="22" t="str">
        <f>IF(B60="","",IF(B60='Setup &amp; Summary'!$N$15,INDEX(A!J:J,MATCH(MAX(A!B:B),A!B:B)),I60+H60))</f>
        <v/>
      </c>
      <c r="K60" s="23" t="str">
        <f t="shared" si="1"/>
        <v/>
      </c>
      <c r="M60" s="60" t="str">
        <f>IF(B60="","",IF(B60*2='Setup &amp; Summary'!$N$15,"midstation row!",""))</f>
        <v/>
      </c>
    </row>
    <row r="61" spans="1:13" x14ac:dyDescent="0.2">
      <c r="A61" s="69">
        <f t="shared" si="5"/>
        <v>52</v>
      </c>
      <c r="B61" s="57" t="str">
        <f>IF('Setup &amp; Summary'!$N$15&gt;A61,A!B60+1,"")</f>
        <v/>
      </c>
      <c r="C61" s="71"/>
      <c r="D61" s="72"/>
      <c r="E61" s="72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68" t="str">
        <f>IF(B61="","",IF(B61='Setup &amp; Summary'!$N$15,J61-H61,I62-$N$5))</f>
        <v/>
      </c>
      <c r="J61" s="22" t="str">
        <f>IF(B61="","",IF(B61='Setup &amp; Summary'!$N$15,INDEX(A!J:J,MATCH(MAX(A!B:B),A!B:B)),I61+H61))</f>
        <v/>
      </c>
      <c r="K61" s="23" t="str">
        <f t="shared" si="1"/>
        <v/>
      </c>
      <c r="M61" s="60" t="str">
        <f>IF(B61="","",IF(B61*2='Setup &amp; Summary'!$N$15,"midstation row!",""))</f>
        <v/>
      </c>
    </row>
    <row r="62" spans="1:13" x14ac:dyDescent="0.2">
      <c r="A62" s="69">
        <f t="shared" si="5"/>
        <v>53</v>
      </c>
      <c r="B62" s="57" t="str">
        <f>IF('Setup &amp; Summary'!$N$15&gt;A62,A!B61+1,"")</f>
        <v/>
      </c>
      <c r="C62" s="71"/>
      <c r="D62" s="72"/>
      <c r="E62" s="72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68" t="str">
        <f>IF(B62="","",IF(B62='Setup &amp; Summary'!$N$15,J62-H62,I63-$N$5))</f>
        <v/>
      </c>
      <c r="J62" s="22" t="str">
        <f>IF(B62="","",IF(B62='Setup &amp; Summary'!$N$15,INDEX(A!J:J,MATCH(MAX(A!B:B),A!B:B)),I62+H62))</f>
        <v/>
      </c>
      <c r="K62" s="23" t="str">
        <f t="shared" si="1"/>
        <v/>
      </c>
      <c r="M62" s="60" t="str">
        <f>IF(B62="","",IF(B62*2='Setup &amp; Summary'!$N$15,"midstation row!",""))</f>
        <v/>
      </c>
    </row>
    <row r="63" spans="1:13" x14ac:dyDescent="0.2">
      <c r="A63" s="69">
        <f t="shared" si="5"/>
        <v>54</v>
      </c>
      <c r="B63" s="57" t="str">
        <f>IF('Setup &amp; Summary'!$N$15&gt;A63,A!B62+1,"")</f>
        <v/>
      </c>
      <c r="C63" s="71"/>
      <c r="D63" s="72"/>
      <c r="E63" s="72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68" t="str">
        <f>IF(B63="","",IF(B63='Setup &amp; Summary'!$N$15,J63-H63,I64-$N$5))</f>
        <v/>
      </c>
      <c r="J63" s="22" t="str">
        <f>IF(B63="","",IF(B63='Setup &amp; Summary'!$N$15,INDEX(A!J:J,MATCH(MAX(A!B:B),A!B:B)),I63+H63))</f>
        <v/>
      </c>
      <c r="K63" s="23" t="str">
        <f t="shared" si="1"/>
        <v/>
      </c>
      <c r="M63" s="60" t="str">
        <f>IF(B63="","",IF(B63*2='Setup &amp; Summary'!$N$15,"midstation row!",""))</f>
        <v/>
      </c>
    </row>
    <row r="64" spans="1:13" x14ac:dyDescent="0.2">
      <c r="A64" s="69">
        <f t="shared" si="5"/>
        <v>55</v>
      </c>
      <c r="B64" s="57" t="str">
        <f>IF('Setup &amp; Summary'!$N$15&gt;A64,A!B63+1,"")</f>
        <v/>
      </c>
      <c r="C64" s="71"/>
      <c r="D64" s="72"/>
      <c r="E64" s="72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68" t="str">
        <f>IF(B64="","",IF(B64='Setup &amp; Summary'!$N$15,J64-H64,I65-$N$5))</f>
        <v/>
      </c>
      <c r="J64" s="22" t="str">
        <f>IF(B64="","",IF(B64='Setup &amp; Summary'!$N$15,INDEX(A!J:J,MATCH(MAX(A!B:B),A!B:B)),I64+H64))</f>
        <v/>
      </c>
      <c r="K64" s="23" t="str">
        <f t="shared" si="1"/>
        <v/>
      </c>
      <c r="M64" s="60" t="str">
        <f>IF(B64="","",IF(B64*2='Setup &amp; Summary'!$N$15,"midstation row!",""))</f>
        <v/>
      </c>
    </row>
    <row r="65" spans="1:13" x14ac:dyDescent="0.2">
      <c r="A65" s="69">
        <f t="shared" si="5"/>
        <v>56</v>
      </c>
      <c r="B65" s="57" t="str">
        <f>IF('Setup &amp; Summary'!$N$15&gt;A65,A!B64+1,"")</f>
        <v/>
      </c>
      <c r="C65" s="71"/>
      <c r="D65" s="72"/>
      <c r="E65" s="72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68" t="str">
        <f>IF(B65="","",IF(B65='Setup &amp; Summary'!$N$15,J65-H65,I66-$N$5))</f>
        <v/>
      </c>
      <c r="J65" s="22" t="str">
        <f>IF(B65="","",IF(B65='Setup &amp; Summary'!$N$15,INDEX(A!J:J,MATCH(MAX(A!B:B),A!B:B)),I65+H65))</f>
        <v/>
      </c>
      <c r="K65" s="23" t="str">
        <f t="shared" si="1"/>
        <v/>
      </c>
      <c r="M65" s="60" t="str">
        <f>IF(B65="","",IF(B65*2='Setup &amp; Summary'!$N$15,"midstation row!",""))</f>
        <v/>
      </c>
    </row>
    <row r="66" spans="1:13" x14ac:dyDescent="0.2">
      <c r="A66" s="69">
        <f t="shared" si="5"/>
        <v>57</v>
      </c>
      <c r="B66" s="57" t="str">
        <f>IF('Setup &amp; Summary'!$N$15&gt;A66,A!B65+1,"")</f>
        <v/>
      </c>
      <c r="C66" s="71"/>
      <c r="D66" s="72"/>
      <c r="E66" s="72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68" t="str">
        <f>IF(B66="","",IF(B66='Setup &amp; Summary'!$N$15,J66-H66,I67-$N$5))</f>
        <v/>
      </c>
      <c r="J66" s="22" t="str">
        <f>IF(B66="","",IF(B66='Setup &amp; Summary'!$N$15,INDEX(A!J:J,MATCH(MAX(A!B:B),A!B:B)),I66+H66))</f>
        <v/>
      </c>
      <c r="K66" s="23" t="str">
        <f t="shared" si="1"/>
        <v/>
      </c>
      <c r="M66" s="60" t="str">
        <f>IF(B66="","",IF(B66*2='Setup &amp; Summary'!$N$15,"midstation row!",""))</f>
        <v/>
      </c>
    </row>
    <row r="67" spans="1:13" x14ac:dyDescent="0.2">
      <c r="A67" s="69">
        <f t="shared" si="5"/>
        <v>58</v>
      </c>
      <c r="B67" s="57" t="str">
        <f>IF('Setup &amp; Summary'!$N$15&gt;A67,A!B66+1,"")</f>
        <v/>
      </c>
      <c r="C67" s="71"/>
      <c r="D67" s="72"/>
      <c r="E67" s="72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68" t="str">
        <f>IF(B67="","",IF(B67='Setup &amp; Summary'!$N$15,J67-H67,I68-$N$5))</f>
        <v/>
      </c>
      <c r="J67" s="22" t="str">
        <f>IF(B67="","",IF(B67='Setup &amp; Summary'!$N$15,INDEX(A!J:J,MATCH(MAX(A!B:B),A!B:B)),I67+H67))</f>
        <v/>
      </c>
      <c r="K67" s="23" t="str">
        <f t="shared" si="1"/>
        <v/>
      </c>
      <c r="M67" s="60" t="str">
        <f>IF(B67="","",IF(B67*2='Setup &amp; Summary'!$N$15,"midstation row!",""))</f>
        <v/>
      </c>
    </row>
    <row r="68" spans="1:13" x14ac:dyDescent="0.2">
      <c r="A68" s="69">
        <f t="shared" si="5"/>
        <v>59</v>
      </c>
      <c r="B68" s="57" t="str">
        <f>IF('Setup &amp; Summary'!$N$15&gt;A68,A!B67+1,"")</f>
        <v/>
      </c>
      <c r="C68" s="71"/>
      <c r="D68" s="72"/>
      <c r="E68" s="72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68" t="str">
        <f>IF(B68="","",IF(B68='Setup &amp; Summary'!$N$15,J68-H68,I69-$N$5))</f>
        <v/>
      </c>
      <c r="J68" s="22" t="str">
        <f>IF(B68="","",IF(B68='Setup &amp; Summary'!$N$15,INDEX(A!J:J,MATCH(MAX(A!B:B),A!B:B)),I68+H68))</f>
        <v/>
      </c>
      <c r="K68" s="23" t="str">
        <f t="shared" si="1"/>
        <v/>
      </c>
      <c r="M68" s="60" t="str">
        <f>IF(B68="","",IF(B68*2='Setup &amp; Summary'!$N$15,"midstation row!",""))</f>
        <v/>
      </c>
    </row>
    <row r="69" spans="1:13" x14ac:dyDescent="0.2">
      <c r="A69" s="69">
        <f t="shared" si="5"/>
        <v>60</v>
      </c>
      <c r="B69" s="57" t="str">
        <f>IF('Setup &amp; Summary'!$N$15&gt;A69,A!B68+1,"")</f>
        <v/>
      </c>
      <c r="C69" s="71"/>
      <c r="D69" s="72"/>
      <c r="E69" s="72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68" t="str">
        <f>IF(B69="","",IF(B69='Setup &amp; Summary'!$N$15,J69-H69,I70-$N$5))</f>
        <v/>
      </c>
      <c r="J69" s="22" t="str">
        <f>IF(B69="","",IF(B69='Setup &amp; Summary'!$N$15,INDEX(A!J:J,MATCH(MAX(A!B:B),A!B:B)),I69+H69))</f>
        <v/>
      </c>
      <c r="K69" s="23" t="str">
        <f t="shared" si="1"/>
        <v/>
      </c>
      <c r="M69" s="60" t="str">
        <f>IF(B69="","",IF(B69*2='Setup &amp; Summary'!$N$15,"midstation row!",""))</f>
        <v/>
      </c>
    </row>
    <row r="70" spans="1:13" x14ac:dyDescent="0.2">
      <c r="A70" s="69">
        <f t="shared" si="5"/>
        <v>61</v>
      </c>
      <c r="B70" s="57" t="str">
        <f>IF('Setup &amp; Summary'!$N$15&gt;A70,A!B69+1,"")</f>
        <v/>
      </c>
      <c r="C70" s="71"/>
      <c r="D70" s="72"/>
      <c r="E70" s="72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68" t="str">
        <f>IF(B70="","",IF(B70='Setup &amp; Summary'!$N$15,J70-H70,I71-$N$5))</f>
        <v/>
      </c>
      <c r="J70" s="22" t="str">
        <f>IF(B70="","",IF(B70='Setup &amp; Summary'!$N$15,INDEX(A!J:J,MATCH(MAX(A!B:B),A!B:B)),I70+H70))</f>
        <v/>
      </c>
      <c r="K70" s="23" t="str">
        <f t="shared" si="1"/>
        <v/>
      </c>
      <c r="M70" s="60" t="str">
        <f>IF(B70="","",IF(B70*2='Setup &amp; Summary'!$N$15,"midstation row!",""))</f>
        <v/>
      </c>
    </row>
    <row r="71" spans="1:13" x14ac:dyDescent="0.2">
      <c r="A71" s="69">
        <f t="shared" si="5"/>
        <v>62</v>
      </c>
      <c r="B71" s="57" t="str">
        <f>IF('Setup &amp; Summary'!$N$15&gt;A71,A!B70+1,"")</f>
        <v/>
      </c>
      <c r="C71" s="71"/>
      <c r="D71" s="72"/>
      <c r="E71" s="72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68" t="str">
        <f>IF(B71="","",IF(B71='Setup &amp; Summary'!$N$15,J71-H71,I72-$N$5))</f>
        <v/>
      </c>
      <c r="J71" s="22" t="str">
        <f>IF(B71="","",IF(B71='Setup &amp; Summary'!$N$15,INDEX(A!J:J,MATCH(MAX(A!B:B),A!B:B)),I71+H71))</f>
        <v/>
      </c>
      <c r="K71" s="23" t="str">
        <f t="shared" si="1"/>
        <v/>
      </c>
      <c r="M71" s="60" t="str">
        <f>IF(B71="","",IF(B71*2='Setup &amp; Summary'!$N$15,"midstation row!",""))</f>
        <v/>
      </c>
    </row>
    <row r="72" spans="1:13" x14ac:dyDescent="0.2">
      <c r="A72" s="69">
        <f t="shared" si="5"/>
        <v>63</v>
      </c>
      <c r="B72" s="57" t="str">
        <f>IF('Setup &amp; Summary'!$N$15&gt;A72,A!B71+1,"")</f>
        <v/>
      </c>
      <c r="C72" s="71"/>
      <c r="D72" s="72"/>
      <c r="E72" s="72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68" t="str">
        <f>IF(B72="","",IF(B72='Setup &amp; Summary'!$N$15,J72-H72,I73-$N$5))</f>
        <v/>
      </c>
      <c r="J72" s="22" t="str">
        <f>IF(B72="","",IF(B72='Setup &amp; Summary'!$N$15,INDEX(A!J:J,MATCH(MAX(A!B:B),A!B:B)),I72+H72))</f>
        <v/>
      </c>
      <c r="K72" s="23" t="str">
        <f t="shared" si="1"/>
        <v/>
      </c>
      <c r="M72" s="60" t="str">
        <f>IF(B72="","",IF(B72*2='Setup &amp; Summary'!$N$15,"midstation row!",""))</f>
        <v/>
      </c>
    </row>
    <row r="73" spans="1:13" x14ac:dyDescent="0.2">
      <c r="A73" s="69">
        <f t="shared" si="5"/>
        <v>64</v>
      </c>
      <c r="B73" s="57" t="str">
        <f>IF('Setup &amp; Summary'!$N$15&gt;A73,A!B72+1,"")</f>
        <v/>
      </c>
      <c r="C73" s="71"/>
      <c r="D73" s="72"/>
      <c r="E73" s="72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68" t="str">
        <f>IF(B73="","",IF(B73='Setup &amp; Summary'!$N$15,J73-H73,I74-$N$5))</f>
        <v/>
      </c>
      <c r="J73" s="22" t="str">
        <f>IF(B73="","",IF(B73='Setup &amp; Summary'!$N$15,INDEX(A!J:J,MATCH(MAX(A!B:B),A!B:B)),I73+H73))</f>
        <v/>
      </c>
      <c r="K73" s="23" t="str">
        <f t="shared" ref="K73:K108" si="6">IF(B73="","",J73*$N$7)</f>
        <v/>
      </c>
      <c r="M73" s="60" t="str">
        <f>IF(B73="","",IF(B73*2='Setup &amp; Summary'!$N$15,"midstation row!",""))</f>
        <v/>
      </c>
    </row>
    <row r="74" spans="1:13" x14ac:dyDescent="0.2">
      <c r="A74" s="69">
        <f t="shared" si="5"/>
        <v>65</v>
      </c>
      <c r="B74" s="57" t="str">
        <f>IF('Setup &amp; Summary'!$N$15&gt;A74,A!B73+1,"")</f>
        <v/>
      </c>
      <c r="C74" s="71"/>
      <c r="D74" s="72"/>
      <c r="E74" s="72"/>
      <c r="F74" s="25" t="str">
        <f t="shared" ref="F74:F108" si="7">IF(B74="","",AVERAGE(C74:E74))</f>
        <v/>
      </c>
      <c r="G74" s="21" t="str">
        <f t="shared" ref="G74:G108" si="8">IF(B74="","",F74-$F$9)</f>
        <v/>
      </c>
      <c r="H74" s="25" t="str">
        <f t="shared" ref="H74:H108" si="9">IF(B74="","",H73+G74)</f>
        <v/>
      </c>
      <c r="I74" s="68" t="str">
        <f>IF(B74="","",IF(B74='Setup &amp; Summary'!$N$15,J74-H74,I75-$N$5))</f>
        <v/>
      </c>
      <c r="J74" s="22" t="str">
        <f>IF(B74="","",IF(B74='Setup &amp; Summary'!$N$15,INDEX(A!J:J,MATCH(MAX(A!B:B),A!B:B)),I74+H74))</f>
        <v/>
      </c>
      <c r="K74" s="23" t="str">
        <f t="shared" si="6"/>
        <v/>
      </c>
      <c r="M74" s="60" t="str">
        <f>IF(B74="","",IF(B74*2='Setup &amp; Summary'!$N$15,"midstation row!",""))</f>
        <v/>
      </c>
    </row>
    <row r="75" spans="1:13" x14ac:dyDescent="0.2">
      <c r="A75" s="69">
        <f t="shared" si="5"/>
        <v>66</v>
      </c>
      <c r="B75" s="57" t="str">
        <f>IF('Setup &amp; Summary'!$N$15&gt;A75,A!B74+1,"")</f>
        <v/>
      </c>
      <c r="C75" s="71"/>
      <c r="D75" s="72"/>
      <c r="E75" s="72"/>
      <c r="F75" s="25" t="str">
        <f t="shared" si="7"/>
        <v/>
      </c>
      <c r="G75" s="21" t="str">
        <f t="shared" si="8"/>
        <v/>
      </c>
      <c r="H75" s="25" t="str">
        <f t="shared" si="9"/>
        <v/>
      </c>
      <c r="I75" s="68" t="str">
        <f>IF(B75="","",IF(B75='Setup &amp; Summary'!$N$15,J75-H75,I76-$N$5))</f>
        <v/>
      </c>
      <c r="J75" s="22" t="str">
        <f>IF(B75="","",IF(B75='Setup &amp; Summary'!$N$15,INDEX(A!J:J,MATCH(MAX(A!B:B),A!B:B)),I75+H75))</f>
        <v/>
      </c>
      <c r="K75" s="23" t="str">
        <f t="shared" si="6"/>
        <v/>
      </c>
      <c r="M75" s="60" t="str">
        <f>IF(B75="","",IF(B75*2='Setup &amp; Summary'!$N$15,"midstation row!",""))</f>
        <v/>
      </c>
    </row>
    <row r="76" spans="1:13" x14ac:dyDescent="0.2">
      <c r="A76" s="69">
        <f t="shared" ref="A76:A108" si="10">A75+1</f>
        <v>67</v>
      </c>
      <c r="B76" s="57" t="str">
        <f>IF('Setup &amp; Summary'!$N$15&gt;A76,A!B75+1,"")</f>
        <v/>
      </c>
      <c r="C76" s="71"/>
      <c r="D76" s="72"/>
      <c r="E76" s="72"/>
      <c r="F76" s="25" t="str">
        <f t="shared" si="7"/>
        <v/>
      </c>
      <c r="G76" s="21" t="str">
        <f t="shared" si="8"/>
        <v/>
      </c>
      <c r="H76" s="25" t="str">
        <f t="shared" si="9"/>
        <v/>
      </c>
      <c r="I76" s="68" t="str">
        <f>IF(B76="","",IF(B76='Setup &amp; Summary'!$N$15,J76-H76,I77-$N$5))</f>
        <v/>
      </c>
      <c r="J76" s="22" t="str">
        <f>IF(B76="","",IF(B76='Setup &amp; Summary'!$N$15,INDEX(A!J:J,MATCH(MAX(A!B:B),A!B:B)),I76+H76))</f>
        <v/>
      </c>
      <c r="K76" s="23" t="str">
        <f t="shared" si="6"/>
        <v/>
      </c>
      <c r="M76" s="60" t="str">
        <f>IF(B76="","",IF(B76*2='Setup &amp; Summary'!$N$15,"midstation row!",""))</f>
        <v/>
      </c>
    </row>
    <row r="77" spans="1:13" x14ac:dyDescent="0.2">
      <c r="A77" s="69">
        <f t="shared" si="10"/>
        <v>68</v>
      </c>
      <c r="B77" s="57" t="str">
        <f>IF('Setup &amp; Summary'!$N$15&gt;A77,A!B76+1,"")</f>
        <v/>
      </c>
      <c r="C77" s="71"/>
      <c r="D77" s="72"/>
      <c r="E77" s="72"/>
      <c r="F77" s="25" t="str">
        <f t="shared" si="7"/>
        <v/>
      </c>
      <c r="G77" s="21" t="str">
        <f t="shared" si="8"/>
        <v/>
      </c>
      <c r="H77" s="25" t="str">
        <f t="shared" si="9"/>
        <v/>
      </c>
      <c r="I77" s="68" t="str">
        <f>IF(B77="","",IF(B77='Setup &amp; Summary'!$N$15,J77-H77,I78-$N$5))</f>
        <v/>
      </c>
      <c r="J77" s="22" t="str">
        <f>IF(B77="","",IF(B77='Setup &amp; Summary'!$N$15,INDEX(A!J:J,MATCH(MAX(A!B:B),A!B:B)),I77+H77))</f>
        <v/>
      </c>
      <c r="K77" s="23" t="str">
        <f t="shared" si="6"/>
        <v/>
      </c>
      <c r="M77" s="60" t="str">
        <f>IF(B77="","",IF(B77*2='Setup &amp; Summary'!$N$15,"midstation row!",""))</f>
        <v/>
      </c>
    </row>
    <row r="78" spans="1:13" x14ac:dyDescent="0.2">
      <c r="A78" s="69">
        <f t="shared" si="10"/>
        <v>69</v>
      </c>
      <c r="B78" s="57" t="str">
        <f>IF('Setup &amp; Summary'!$N$15&gt;A78,A!B77+1,"")</f>
        <v/>
      </c>
      <c r="C78" s="71"/>
      <c r="D78" s="72"/>
      <c r="E78" s="72"/>
      <c r="F78" s="25" t="str">
        <f t="shared" si="7"/>
        <v/>
      </c>
      <c r="G78" s="21" t="str">
        <f t="shared" si="8"/>
        <v/>
      </c>
      <c r="H78" s="25" t="str">
        <f t="shared" si="9"/>
        <v/>
      </c>
      <c r="I78" s="68" t="str">
        <f>IF(B78="","",IF(B78='Setup &amp; Summary'!$N$15,J78-H78,I79-$N$5))</f>
        <v/>
      </c>
      <c r="J78" s="22" t="str">
        <f>IF(B78="","",IF(B78='Setup &amp; Summary'!$N$15,INDEX(A!J:J,MATCH(MAX(A!B:B),A!B:B)),I78+H78))</f>
        <v/>
      </c>
      <c r="K78" s="23" t="str">
        <f t="shared" si="6"/>
        <v/>
      </c>
      <c r="M78" s="60" t="str">
        <f>IF(B78="","",IF(B78*2='Setup &amp; Summary'!$N$15,"midstation row!",""))</f>
        <v/>
      </c>
    </row>
    <row r="79" spans="1:13" x14ac:dyDescent="0.2">
      <c r="A79" s="69">
        <f t="shared" si="10"/>
        <v>70</v>
      </c>
      <c r="B79" s="57" t="str">
        <f>IF('Setup &amp; Summary'!$N$15&gt;A79,A!B78+1,"")</f>
        <v/>
      </c>
      <c r="C79" s="71"/>
      <c r="D79" s="72"/>
      <c r="E79" s="72"/>
      <c r="F79" s="25" t="str">
        <f t="shared" si="7"/>
        <v/>
      </c>
      <c r="G79" s="21" t="str">
        <f t="shared" si="8"/>
        <v/>
      </c>
      <c r="H79" s="25" t="str">
        <f t="shared" si="9"/>
        <v/>
      </c>
      <c r="I79" s="68" t="str">
        <f>IF(B79="","",IF(B79='Setup &amp; Summary'!$N$15,J79-H79,I80-$N$5))</f>
        <v/>
      </c>
      <c r="J79" s="22" t="str">
        <f>IF(B79="","",IF(B79='Setup &amp; Summary'!$N$15,INDEX(A!J:J,MATCH(MAX(A!B:B),A!B:B)),I79+H79))</f>
        <v/>
      </c>
      <c r="K79" s="23" t="str">
        <f t="shared" si="6"/>
        <v/>
      </c>
      <c r="M79" s="60" t="str">
        <f>IF(B79="","",IF(B79*2='Setup &amp; Summary'!$N$15,"midstation row!",""))</f>
        <v/>
      </c>
    </row>
    <row r="80" spans="1:13" x14ac:dyDescent="0.2">
      <c r="A80" s="69">
        <f t="shared" si="10"/>
        <v>71</v>
      </c>
      <c r="B80" s="57" t="str">
        <f>IF('Setup &amp; Summary'!$N$15&gt;A80,A!B79+1,"")</f>
        <v/>
      </c>
      <c r="C80" s="71"/>
      <c r="D80" s="72"/>
      <c r="E80" s="72"/>
      <c r="F80" s="25" t="str">
        <f t="shared" si="7"/>
        <v/>
      </c>
      <c r="G80" s="21" t="str">
        <f t="shared" si="8"/>
        <v/>
      </c>
      <c r="H80" s="25" t="str">
        <f t="shared" si="9"/>
        <v/>
      </c>
      <c r="I80" s="68" t="str">
        <f>IF(B80="","",IF(B80='Setup &amp; Summary'!$N$15,J80-H80,I81-$N$5))</f>
        <v/>
      </c>
      <c r="J80" s="22" t="str">
        <f>IF(B80="","",IF(B80='Setup &amp; Summary'!$N$15,INDEX(A!J:J,MATCH(MAX(A!B:B),A!B:B)),I80+H80))</f>
        <v/>
      </c>
      <c r="K80" s="23" t="str">
        <f t="shared" si="6"/>
        <v/>
      </c>
      <c r="M80" s="60" t="str">
        <f>IF(B80="","",IF(B80*2='Setup &amp; Summary'!$N$15,"midstation row!",""))</f>
        <v/>
      </c>
    </row>
    <row r="81" spans="1:13" x14ac:dyDescent="0.2">
      <c r="A81" s="69">
        <f t="shared" si="10"/>
        <v>72</v>
      </c>
      <c r="B81" s="57" t="str">
        <f>IF('Setup &amp; Summary'!$N$15&gt;A81,A!B80+1,"")</f>
        <v/>
      </c>
      <c r="C81" s="71"/>
      <c r="D81" s="72"/>
      <c r="E81" s="72"/>
      <c r="F81" s="25" t="str">
        <f t="shared" si="7"/>
        <v/>
      </c>
      <c r="G81" s="21" t="str">
        <f t="shared" si="8"/>
        <v/>
      </c>
      <c r="H81" s="25" t="str">
        <f t="shared" si="9"/>
        <v/>
      </c>
      <c r="I81" s="68" t="str">
        <f>IF(B81="","",IF(B81='Setup &amp; Summary'!$N$15,J81-H81,I82-$N$5))</f>
        <v/>
      </c>
      <c r="J81" s="22" t="str">
        <f>IF(B81="","",IF(B81='Setup &amp; Summary'!$N$15,INDEX(A!J:J,MATCH(MAX(A!B:B),A!B:B)),I81+H81))</f>
        <v/>
      </c>
      <c r="K81" s="23" t="str">
        <f t="shared" si="6"/>
        <v/>
      </c>
      <c r="M81" s="60" t="str">
        <f>IF(B81="","",IF(B81*2='Setup &amp; Summary'!$N$15,"midstation row!",""))</f>
        <v/>
      </c>
    </row>
    <row r="82" spans="1:13" x14ac:dyDescent="0.2">
      <c r="A82" s="69">
        <f t="shared" si="10"/>
        <v>73</v>
      </c>
      <c r="B82" s="57" t="str">
        <f>IF('Setup &amp; Summary'!$N$15&gt;A82,A!B81+1,"")</f>
        <v/>
      </c>
      <c r="C82" s="71"/>
      <c r="D82" s="72"/>
      <c r="E82" s="72"/>
      <c r="F82" s="25" t="str">
        <f t="shared" si="7"/>
        <v/>
      </c>
      <c r="G82" s="21" t="str">
        <f t="shared" si="8"/>
        <v/>
      </c>
      <c r="H82" s="25" t="str">
        <f t="shared" si="9"/>
        <v/>
      </c>
      <c r="I82" s="68" t="str">
        <f>IF(B82="","",IF(B82='Setup &amp; Summary'!$N$15,J82-H82,I83-$N$5))</f>
        <v/>
      </c>
      <c r="J82" s="22" t="str">
        <f>IF(B82="","",IF(B82='Setup &amp; Summary'!$N$15,INDEX(A!J:J,MATCH(MAX(A!B:B),A!B:B)),I82+H82))</f>
        <v/>
      </c>
      <c r="K82" s="23" t="str">
        <f t="shared" si="6"/>
        <v/>
      </c>
      <c r="M82" s="60" t="str">
        <f>IF(B82="","",IF(B82*2='Setup &amp; Summary'!$N$15,"midstation row!",""))</f>
        <v/>
      </c>
    </row>
    <row r="83" spans="1:13" x14ac:dyDescent="0.2">
      <c r="A83" s="69">
        <f t="shared" si="10"/>
        <v>74</v>
      </c>
      <c r="B83" s="57" t="str">
        <f>IF('Setup &amp; Summary'!$N$15&gt;A83,A!B82+1,"")</f>
        <v/>
      </c>
      <c r="C83" s="71"/>
      <c r="D83" s="72"/>
      <c r="E83" s="72"/>
      <c r="F83" s="25" t="str">
        <f t="shared" si="7"/>
        <v/>
      </c>
      <c r="G83" s="21" t="str">
        <f t="shared" si="8"/>
        <v/>
      </c>
      <c r="H83" s="25" t="str">
        <f t="shared" si="9"/>
        <v/>
      </c>
      <c r="I83" s="68" t="str">
        <f>IF(B83="","",IF(B83='Setup &amp; Summary'!$N$15,J83-H83,I84-$N$5))</f>
        <v/>
      </c>
      <c r="J83" s="22" t="str">
        <f>IF(B83="","",IF(B83='Setup &amp; Summary'!$N$15,INDEX(A!J:J,MATCH(MAX(A!B:B),A!B:B)),I83+H83))</f>
        <v/>
      </c>
      <c r="K83" s="23" t="str">
        <f t="shared" si="6"/>
        <v/>
      </c>
      <c r="M83" s="60" t="str">
        <f>IF(B83="","",IF(B83*2='Setup &amp; Summary'!$N$15,"midstation row!",""))</f>
        <v/>
      </c>
    </row>
    <row r="84" spans="1:13" x14ac:dyDescent="0.2">
      <c r="A84" s="69">
        <f t="shared" si="10"/>
        <v>75</v>
      </c>
      <c r="B84" s="57" t="str">
        <f>IF('Setup &amp; Summary'!$N$15&gt;A84,A!B83+1,"")</f>
        <v/>
      </c>
      <c r="C84" s="71"/>
      <c r="D84" s="72"/>
      <c r="E84" s="72"/>
      <c r="F84" s="25" t="str">
        <f t="shared" si="7"/>
        <v/>
      </c>
      <c r="G84" s="21" t="str">
        <f t="shared" si="8"/>
        <v/>
      </c>
      <c r="H84" s="25" t="str">
        <f t="shared" si="9"/>
        <v/>
      </c>
      <c r="I84" s="68" t="str">
        <f>IF(B84="","",IF(B84='Setup &amp; Summary'!$N$15,J84-H84,I85-$N$5))</f>
        <v/>
      </c>
      <c r="J84" s="22" t="str">
        <f>IF(B84="","",IF(B84='Setup &amp; Summary'!$N$15,INDEX(A!J:J,MATCH(MAX(A!B:B),A!B:B)),I84+H84))</f>
        <v/>
      </c>
      <c r="K84" s="23" t="str">
        <f t="shared" si="6"/>
        <v/>
      </c>
      <c r="M84" s="60" t="str">
        <f>IF(B84="","",IF(B84*2='Setup &amp; Summary'!$N$15,"midstation row!",""))</f>
        <v/>
      </c>
    </row>
    <row r="85" spans="1:13" x14ac:dyDescent="0.2">
      <c r="A85" s="69">
        <f t="shared" si="10"/>
        <v>76</v>
      </c>
      <c r="B85" s="57" t="str">
        <f>IF('Setup &amp; Summary'!$N$15&gt;A85,A!B84+1,"")</f>
        <v/>
      </c>
      <c r="C85" s="71"/>
      <c r="D85" s="72"/>
      <c r="E85" s="72"/>
      <c r="F85" s="25" t="str">
        <f t="shared" si="7"/>
        <v/>
      </c>
      <c r="G85" s="21" t="str">
        <f t="shared" si="8"/>
        <v/>
      </c>
      <c r="H85" s="25" t="str">
        <f t="shared" si="9"/>
        <v/>
      </c>
      <c r="I85" s="68" t="str">
        <f>IF(B85="","",IF(B85='Setup &amp; Summary'!$N$15,J85-H85,I86-$N$5))</f>
        <v/>
      </c>
      <c r="J85" s="22" t="str">
        <f>IF(B85="","",IF(B85='Setup &amp; Summary'!$N$15,INDEX(A!J:J,MATCH(MAX(A!B:B),A!B:B)),I85+H85))</f>
        <v/>
      </c>
      <c r="K85" s="23" t="str">
        <f t="shared" si="6"/>
        <v/>
      </c>
      <c r="M85" s="60" t="str">
        <f>IF(B85="","",IF(B85*2='Setup &amp; Summary'!$N$15,"midstation row!",""))</f>
        <v/>
      </c>
    </row>
    <row r="86" spans="1:13" x14ac:dyDescent="0.2">
      <c r="A86" s="69">
        <f t="shared" si="10"/>
        <v>77</v>
      </c>
      <c r="B86" s="57" t="str">
        <f>IF('Setup &amp; Summary'!$N$15&gt;A86,A!B85+1,"")</f>
        <v/>
      </c>
      <c r="C86" s="71"/>
      <c r="D86" s="72"/>
      <c r="E86" s="72"/>
      <c r="F86" s="25" t="str">
        <f t="shared" si="7"/>
        <v/>
      </c>
      <c r="G86" s="21" t="str">
        <f t="shared" si="8"/>
        <v/>
      </c>
      <c r="H86" s="25" t="str">
        <f t="shared" si="9"/>
        <v/>
      </c>
      <c r="I86" s="68" t="str">
        <f>IF(B86="","",IF(B86='Setup &amp; Summary'!$N$15,J86-H86,I87-$N$5))</f>
        <v/>
      </c>
      <c r="J86" s="22" t="str">
        <f>IF(B86="","",IF(B86='Setup &amp; Summary'!$N$15,INDEX(A!J:J,MATCH(MAX(A!B:B),A!B:B)),I86+H86))</f>
        <v/>
      </c>
      <c r="K86" s="23" t="str">
        <f t="shared" si="6"/>
        <v/>
      </c>
      <c r="M86" s="60" t="str">
        <f>IF(B86="","",IF(B86*2='Setup &amp; Summary'!$N$15,"midstation row!",""))</f>
        <v/>
      </c>
    </row>
    <row r="87" spans="1:13" x14ac:dyDescent="0.2">
      <c r="A87" s="69">
        <f t="shared" si="10"/>
        <v>78</v>
      </c>
      <c r="B87" s="57" t="str">
        <f>IF('Setup &amp; Summary'!$N$15&gt;A87,A!B86+1,"")</f>
        <v/>
      </c>
      <c r="C87" s="71"/>
      <c r="D87" s="72"/>
      <c r="E87" s="72"/>
      <c r="F87" s="25" t="str">
        <f t="shared" si="7"/>
        <v/>
      </c>
      <c r="G87" s="21" t="str">
        <f t="shared" si="8"/>
        <v/>
      </c>
      <c r="H87" s="25" t="str">
        <f t="shared" si="9"/>
        <v/>
      </c>
      <c r="I87" s="68" t="str">
        <f>IF(B87="","",IF(B87='Setup &amp; Summary'!$N$15,J87-H87,I88-$N$5))</f>
        <v/>
      </c>
      <c r="J87" s="22" t="str">
        <f>IF(B87="","",IF(B87='Setup &amp; Summary'!$N$15,INDEX(A!J:J,MATCH(MAX(A!B:B),A!B:B)),I87+H87))</f>
        <v/>
      </c>
      <c r="K87" s="23" t="str">
        <f t="shared" si="6"/>
        <v/>
      </c>
      <c r="M87" s="60" t="str">
        <f>IF(B87="","",IF(B87*2='Setup &amp; Summary'!$N$15,"midstation row!",""))</f>
        <v/>
      </c>
    </row>
    <row r="88" spans="1:13" x14ac:dyDescent="0.2">
      <c r="A88" s="69">
        <f t="shared" si="10"/>
        <v>79</v>
      </c>
      <c r="B88" s="57" t="str">
        <f>IF('Setup &amp; Summary'!$N$15&gt;A88,A!B87+1,"")</f>
        <v/>
      </c>
      <c r="C88" s="71"/>
      <c r="D88" s="72"/>
      <c r="E88" s="72"/>
      <c r="F88" s="25" t="str">
        <f t="shared" si="7"/>
        <v/>
      </c>
      <c r="G88" s="21" t="str">
        <f t="shared" si="8"/>
        <v/>
      </c>
      <c r="H88" s="25" t="str">
        <f t="shared" si="9"/>
        <v/>
      </c>
      <c r="I88" s="68" t="str">
        <f>IF(B88="","",IF(B88='Setup &amp; Summary'!$N$15,J88-H88,I89-$N$5))</f>
        <v/>
      </c>
      <c r="J88" s="22" t="str">
        <f>IF(B88="","",IF(B88='Setup &amp; Summary'!$N$15,INDEX(A!J:J,MATCH(MAX(A!B:B),A!B:B)),I88+H88))</f>
        <v/>
      </c>
      <c r="K88" s="23" t="str">
        <f t="shared" si="6"/>
        <v/>
      </c>
      <c r="M88" s="60" t="str">
        <f>IF(B88="","",IF(B88*2='Setup &amp; Summary'!$N$15,"midstation row!",""))</f>
        <v/>
      </c>
    </row>
    <row r="89" spans="1:13" x14ac:dyDescent="0.2">
      <c r="A89" s="69">
        <f t="shared" si="10"/>
        <v>80</v>
      </c>
      <c r="B89" s="57" t="str">
        <f>IF('Setup &amp; Summary'!$N$15&gt;A89,A!B88+1,"")</f>
        <v/>
      </c>
      <c r="C89" s="71"/>
      <c r="D89" s="72"/>
      <c r="E89" s="72"/>
      <c r="F89" s="25" t="str">
        <f t="shared" si="7"/>
        <v/>
      </c>
      <c r="G89" s="21" t="str">
        <f t="shared" si="8"/>
        <v/>
      </c>
      <c r="H89" s="25" t="str">
        <f t="shared" si="9"/>
        <v/>
      </c>
      <c r="I89" s="68" t="str">
        <f>IF(B89="","",IF(B89='Setup &amp; Summary'!$N$15,J89-H89,I90-$N$5))</f>
        <v/>
      </c>
      <c r="J89" s="22" t="str">
        <f>IF(B89="","",IF(B89='Setup &amp; Summary'!$N$15,INDEX(A!J:J,MATCH(MAX(A!B:B),A!B:B)),I89+H89))</f>
        <v/>
      </c>
      <c r="K89" s="23" t="str">
        <f t="shared" si="6"/>
        <v/>
      </c>
      <c r="M89" s="60" t="str">
        <f>IF(B89="","",IF(B89*2='Setup &amp; Summary'!$N$15,"midstation row!",""))</f>
        <v/>
      </c>
    </row>
    <row r="90" spans="1:13" x14ac:dyDescent="0.2">
      <c r="A90" s="69">
        <f t="shared" si="10"/>
        <v>81</v>
      </c>
      <c r="B90" s="57" t="str">
        <f>IF('Setup &amp; Summary'!$N$15&gt;A90,A!B89+1,"")</f>
        <v/>
      </c>
      <c r="C90" s="71"/>
      <c r="D90" s="72"/>
      <c r="E90" s="72"/>
      <c r="F90" s="25" t="str">
        <f t="shared" si="7"/>
        <v/>
      </c>
      <c r="G90" s="21" t="str">
        <f t="shared" si="8"/>
        <v/>
      </c>
      <c r="H90" s="25" t="str">
        <f t="shared" si="9"/>
        <v/>
      </c>
      <c r="I90" s="68" t="str">
        <f>IF(B90="","",IF(B90='Setup &amp; Summary'!$N$15,J90-H90,I91-$N$5))</f>
        <v/>
      </c>
      <c r="J90" s="22" t="str">
        <f>IF(B90="","",IF(B90='Setup &amp; Summary'!$N$15,INDEX(A!J:J,MATCH(MAX(A!B:B),A!B:B)),I90+H90))</f>
        <v/>
      </c>
      <c r="K90" s="23" t="str">
        <f t="shared" si="6"/>
        <v/>
      </c>
      <c r="M90" s="60" t="str">
        <f>IF(B90="","",IF(B90*2='Setup &amp; Summary'!$N$15,"midstation row!",""))</f>
        <v/>
      </c>
    </row>
    <row r="91" spans="1:13" x14ac:dyDescent="0.2">
      <c r="A91" s="69">
        <f t="shared" si="10"/>
        <v>82</v>
      </c>
      <c r="B91" s="57" t="str">
        <f>IF('Setup &amp; Summary'!$N$15&gt;A91,A!B90+1,"")</f>
        <v/>
      </c>
      <c r="C91" s="71"/>
      <c r="D91" s="72"/>
      <c r="E91" s="72"/>
      <c r="F91" s="25" t="str">
        <f t="shared" si="7"/>
        <v/>
      </c>
      <c r="G91" s="21" t="str">
        <f t="shared" si="8"/>
        <v/>
      </c>
      <c r="H91" s="25" t="str">
        <f t="shared" si="9"/>
        <v/>
      </c>
      <c r="I91" s="68" t="str">
        <f>IF(B91="","",IF(B91='Setup &amp; Summary'!$N$15,J91-H91,I92-$N$5))</f>
        <v/>
      </c>
      <c r="J91" s="22" t="str">
        <f>IF(B91="","",IF(B91='Setup &amp; Summary'!$N$15,INDEX(A!J:J,MATCH(MAX(A!B:B),A!B:B)),I91+H91))</f>
        <v/>
      </c>
      <c r="K91" s="23" t="str">
        <f t="shared" si="6"/>
        <v/>
      </c>
      <c r="M91" s="60" t="str">
        <f>IF(B91="","",IF(B91*2='Setup &amp; Summary'!$N$15,"midstation row!",""))</f>
        <v/>
      </c>
    </row>
    <row r="92" spans="1:13" x14ac:dyDescent="0.2">
      <c r="A92" s="69">
        <f t="shared" si="10"/>
        <v>83</v>
      </c>
      <c r="B92" s="57" t="str">
        <f>IF('Setup &amp; Summary'!$N$15&gt;A92,A!B91+1,"")</f>
        <v/>
      </c>
      <c r="C92" s="71"/>
      <c r="D92" s="72"/>
      <c r="E92" s="72"/>
      <c r="F92" s="25" t="str">
        <f t="shared" si="7"/>
        <v/>
      </c>
      <c r="G92" s="21" t="str">
        <f t="shared" si="8"/>
        <v/>
      </c>
      <c r="H92" s="25" t="str">
        <f t="shared" si="9"/>
        <v/>
      </c>
      <c r="I92" s="68" t="str">
        <f>IF(B92="","",IF(B92='Setup &amp; Summary'!$N$15,J92-H92,I93-$N$5))</f>
        <v/>
      </c>
      <c r="J92" s="22" t="str">
        <f>IF(B92="","",IF(B92='Setup &amp; Summary'!$N$15,INDEX(A!J:J,MATCH(MAX(A!B:B),A!B:B)),I92+H92))</f>
        <v/>
      </c>
      <c r="K92" s="23" t="str">
        <f t="shared" si="6"/>
        <v/>
      </c>
      <c r="M92" s="60" t="str">
        <f>IF(B92="","",IF(B92*2='Setup &amp; Summary'!$N$15,"midstation row!",""))</f>
        <v/>
      </c>
    </row>
    <row r="93" spans="1:13" x14ac:dyDescent="0.2">
      <c r="A93" s="69">
        <f t="shared" si="10"/>
        <v>84</v>
      </c>
      <c r="B93" s="57" t="str">
        <f>IF('Setup &amp; Summary'!$N$15&gt;A93,A!B92+1,"")</f>
        <v/>
      </c>
      <c r="C93" s="71"/>
      <c r="D93" s="72"/>
      <c r="E93" s="72"/>
      <c r="F93" s="25" t="str">
        <f t="shared" si="7"/>
        <v/>
      </c>
      <c r="G93" s="21" t="str">
        <f t="shared" si="8"/>
        <v/>
      </c>
      <c r="H93" s="25" t="str">
        <f t="shared" si="9"/>
        <v/>
      </c>
      <c r="I93" s="68" t="str">
        <f>IF(B93="","",IF(B93='Setup &amp; Summary'!$N$15,J93-H93,I94-$N$5))</f>
        <v/>
      </c>
      <c r="J93" s="22" t="str">
        <f>IF(B93="","",IF(B93='Setup &amp; Summary'!$N$15,INDEX(A!J:J,MATCH(MAX(A!B:B),A!B:B)),I93+H93))</f>
        <v/>
      </c>
      <c r="K93" s="23" t="str">
        <f t="shared" si="6"/>
        <v/>
      </c>
      <c r="M93" s="60" t="str">
        <f>IF(B93="","",IF(B93*2='Setup &amp; Summary'!$N$15,"midstation row!",""))</f>
        <v/>
      </c>
    </row>
    <row r="94" spans="1:13" x14ac:dyDescent="0.2">
      <c r="A94" s="69">
        <f t="shared" si="10"/>
        <v>85</v>
      </c>
      <c r="B94" s="57" t="str">
        <f>IF('Setup &amp; Summary'!$N$15&gt;A94,A!B93+1,"")</f>
        <v/>
      </c>
      <c r="C94" s="71"/>
      <c r="D94" s="72"/>
      <c r="E94" s="72"/>
      <c r="F94" s="25" t="str">
        <f t="shared" si="7"/>
        <v/>
      </c>
      <c r="G94" s="21" t="str">
        <f t="shared" si="8"/>
        <v/>
      </c>
      <c r="H94" s="25" t="str">
        <f t="shared" si="9"/>
        <v/>
      </c>
      <c r="I94" s="68" t="str">
        <f>IF(B94="","",IF(B94='Setup &amp; Summary'!$N$15,J94-H94,I95-$N$5))</f>
        <v/>
      </c>
      <c r="J94" s="22" t="str">
        <f>IF(B94="","",IF(B94='Setup &amp; Summary'!$N$15,INDEX(A!J:J,MATCH(MAX(A!B:B),A!B:B)),I94+H94))</f>
        <v/>
      </c>
      <c r="K94" s="23" t="str">
        <f t="shared" si="6"/>
        <v/>
      </c>
      <c r="M94" s="60" t="str">
        <f>IF(B94="","",IF(B94*2='Setup &amp; Summary'!$N$15,"midstation row!",""))</f>
        <v/>
      </c>
    </row>
    <row r="95" spans="1:13" x14ac:dyDescent="0.2">
      <c r="A95" s="69">
        <f t="shared" si="10"/>
        <v>86</v>
      </c>
      <c r="B95" s="57" t="str">
        <f>IF('Setup &amp; Summary'!$N$15&gt;A95,A!B94+1,"")</f>
        <v/>
      </c>
      <c r="C95" s="71"/>
      <c r="D95" s="72"/>
      <c r="E95" s="72"/>
      <c r="F95" s="25" t="str">
        <f t="shared" si="7"/>
        <v/>
      </c>
      <c r="G95" s="21" t="str">
        <f t="shared" si="8"/>
        <v/>
      </c>
      <c r="H95" s="25" t="str">
        <f t="shared" si="9"/>
        <v/>
      </c>
      <c r="I95" s="68" t="str">
        <f>IF(B95="","",IF(B95='Setup &amp; Summary'!$N$15,J95-H95,I96-$N$5))</f>
        <v/>
      </c>
      <c r="J95" s="22" t="str">
        <f>IF(B95="","",IF(B95='Setup &amp; Summary'!$N$15,INDEX(A!J:J,MATCH(MAX(A!B:B),A!B:B)),I95+H95))</f>
        <v/>
      </c>
      <c r="K95" s="23" t="str">
        <f t="shared" si="6"/>
        <v/>
      </c>
      <c r="M95" s="60" t="str">
        <f>IF(B95="","",IF(B95*2='Setup &amp; Summary'!$N$15,"midstation row!",""))</f>
        <v/>
      </c>
    </row>
    <row r="96" spans="1:13" x14ac:dyDescent="0.2">
      <c r="A96" s="69">
        <f t="shared" si="10"/>
        <v>87</v>
      </c>
      <c r="B96" s="57" t="str">
        <f>IF('Setup &amp; Summary'!$N$15&gt;A96,A!B95+1,"")</f>
        <v/>
      </c>
      <c r="C96" s="71"/>
      <c r="D96" s="72"/>
      <c r="E96" s="72"/>
      <c r="F96" s="25" t="str">
        <f t="shared" si="7"/>
        <v/>
      </c>
      <c r="G96" s="21" t="str">
        <f t="shared" si="8"/>
        <v/>
      </c>
      <c r="H96" s="25" t="str">
        <f t="shared" si="9"/>
        <v/>
      </c>
      <c r="I96" s="68" t="str">
        <f>IF(B96="","",IF(B96='Setup &amp; Summary'!$N$15,J96-H96,I97-$N$5))</f>
        <v/>
      </c>
      <c r="J96" s="22" t="str">
        <f>IF(B96="","",IF(B96='Setup &amp; Summary'!$N$15,INDEX(A!J:J,MATCH(MAX(A!B:B),A!B:B)),I96+H96))</f>
        <v/>
      </c>
      <c r="K96" s="23" t="str">
        <f t="shared" si="6"/>
        <v/>
      </c>
      <c r="M96" s="60" t="str">
        <f>IF(B96="","",IF(B96*2='Setup &amp; Summary'!$N$15,"midstation row!",""))</f>
        <v/>
      </c>
    </row>
    <row r="97" spans="1:13" x14ac:dyDescent="0.2">
      <c r="A97" s="69">
        <f t="shared" si="10"/>
        <v>88</v>
      </c>
      <c r="B97" s="57" t="str">
        <f>IF('Setup &amp; Summary'!$N$15&gt;A97,A!B96+1,"")</f>
        <v/>
      </c>
      <c r="C97" s="71"/>
      <c r="D97" s="72"/>
      <c r="E97" s="72"/>
      <c r="F97" s="25" t="str">
        <f t="shared" si="7"/>
        <v/>
      </c>
      <c r="G97" s="21" t="str">
        <f t="shared" si="8"/>
        <v/>
      </c>
      <c r="H97" s="25" t="str">
        <f t="shared" si="9"/>
        <v/>
      </c>
      <c r="I97" s="68" t="str">
        <f>IF(B97="","",IF(B97='Setup &amp; Summary'!$N$15,J97-H97,I98-$N$5))</f>
        <v/>
      </c>
      <c r="J97" s="22" t="str">
        <f>IF(B97="","",IF(B97='Setup &amp; Summary'!$N$15,INDEX(A!J:J,MATCH(MAX(A!B:B),A!B:B)),I97+H97))</f>
        <v/>
      </c>
      <c r="K97" s="23" t="str">
        <f t="shared" si="6"/>
        <v/>
      </c>
      <c r="M97" s="60" t="str">
        <f>IF(B97="","",IF(B97*2='Setup &amp; Summary'!$N$15,"midstation row!",""))</f>
        <v/>
      </c>
    </row>
    <row r="98" spans="1:13" x14ac:dyDescent="0.2">
      <c r="A98" s="69">
        <f t="shared" si="10"/>
        <v>89</v>
      </c>
      <c r="B98" s="57" t="str">
        <f>IF('Setup &amp; Summary'!$N$15&gt;A98,A!B97+1,"")</f>
        <v/>
      </c>
      <c r="C98" s="71"/>
      <c r="D98" s="72"/>
      <c r="E98" s="72"/>
      <c r="F98" s="25" t="str">
        <f t="shared" si="7"/>
        <v/>
      </c>
      <c r="G98" s="21" t="str">
        <f t="shared" si="8"/>
        <v/>
      </c>
      <c r="H98" s="25" t="str">
        <f t="shared" si="9"/>
        <v/>
      </c>
      <c r="I98" s="68" t="str">
        <f>IF(B98="","",IF(B98='Setup &amp; Summary'!$N$15,J98-H98,I99-$N$5))</f>
        <v/>
      </c>
      <c r="J98" s="22" t="str">
        <f>IF(B98="","",IF(B98='Setup &amp; Summary'!$N$15,INDEX(A!J:J,MATCH(MAX(A!B:B),A!B:B)),I98+H98))</f>
        <v/>
      </c>
      <c r="K98" s="23" t="str">
        <f t="shared" si="6"/>
        <v/>
      </c>
      <c r="M98" s="60" t="str">
        <f>IF(B98="","",IF(B98*2='Setup &amp; Summary'!$N$15,"midstation row!",""))</f>
        <v/>
      </c>
    </row>
    <row r="99" spans="1:13" x14ac:dyDescent="0.2">
      <c r="A99" s="69">
        <f t="shared" si="10"/>
        <v>90</v>
      </c>
      <c r="B99" s="57" t="str">
        <f>IF('Setup &amp; Summary'!$N$15&gt;A99,A!B98+1,"")</f>
        <v/>
      </c>
      <c r="C99" s="71"/>
      <c r="D99" s="72"/>
      <c r="E99" s="72"/>
      <c r="F99" s="25" t="str">
        <f t="shared" si="7"/>
        <v/>
      </c>
      <c r="G99" s="21" t="str">
        <f t="shared" si="8"/>
        <v/>
      </c>
      <c r="H99" s="25" t="str">
        <f t="shared" si="9"/>
        <v/>
      </c>
      <c r="I99" s="68" t="str">
        <f>IF(B99="","",IF(B99='Setup &amp; Summary'!$N$15,J99-H99,I100-$N$5))</f>
        <v/>
      </c>
      <c r="J99" s="22" t="str">
        <f>IF(B99="","",IF(B99='Setup &amp; Summary'!$N$15,INDEX(A!J:J,MATCH(MAX(A!B:B),A!B:B)),I99+H99))</f>
        <v/>
      </c>
      <c r="K99" s="23" t="str">
        <f t="shared" si="6"/>
        <v/>
      </c>
      <c r="M99" s="60" t="str">
        <f>IF(B99="","",IF(B99*2='Setup &amp; Summary'!$N$15,"midstation row!",""))</f>
        <v/>
      </c>
    </row>
    <row r="100" spans="1:13" x14ac:dyDescent="0.2">
      <c r="A100" s="69">
        <f t="shared" si="10"/>
        <v>91</v>
      </c>
      <c r="B100" s="57" t="str">
        <f>IF('Setup &amp; Summary'!$N$15&gt;A100,A!B99+1,"")</f>
        <v/>
      </c>
      <c r="C100" s="71"/>
      <c r="D100" s="72"/>
      <c r="E100" s="72"/>
      <c r="F100" s="25" t="str">
        <f t="shared" si="7"/>
        <v/>
      </c>
      <c r="G100" s="21" t="str">
        <f t="shared" si="8"/>
        <v/>
      </c>
      <c r="H100" s="25" t="str">
        <f t="shared" si="9"/>
        <v/>
      </c>
      <c r="I100" s="68" t="str">
        <f>IF(B100="","",IF(B100='Setup &amp; Summary'!$N$15,J100-H100,I101-$N$5))</f>
        <v/>
      </c>
      <c r="J100" s="22" t="str">
        <f>IF(B100="","",IF(B100='Setup &amp; Summary'!$N$15,INDEX(A!J:J,MATCH(MAX(A!B:B),A!B:B)),I100+H100))</f>
        <v/>
      </c>
      <c r="K100" s="23" t="str">
        <f t="shared" si="6"/>
        <v/>
      </c>
      <c r="M100" s="60" t="str">
        <f>IF(B100="","",IF(B100*2='Setup &amp; Summary'!$N$15,"midstation row!",""))</f>
        <v/>
      </c>
    </row>
    <row r="101" spans="1:13" x14ac:dyDescent="0.2">
      <c r="A101" s="69">
        <f t="shared" si="10"/>
        <v>92</v>
      </c>
      <c r="B101" s="57" t="str">
        <f>IF('Setup &amp; Summary'!$N$15&gt;A101,A!B100+1,"")</f>
        <v/>
      </c>
      <c r="C101" s="71"/>
      <c r="D101" s="72"/>
      <c r="E101" s="72"/>
      <c r="F101" s="25" t="str">
        <f t="shared" si="7"/>
        <v/>
      </c>
      <c r="G101" s="21" t="str">
        <f t="shared" si="8"/>
        <v/>
      </c>
      <c r="H101" s="25" t="str">
        <f t="shared" si="9"/>
        <v/>
      </c>
      <c r="I101" s="68" t="str">
        <f>IF(B101="","",IF(B101='Setup &amp; Summary'!$N$15,J101-H101,I102-$N$5))</f>
        <v/>
      </c>
      <c r="J101" s="22" t="str">
        <f>IF(B101="","",IF(B101='Setup &amp; Summary'!$N$15,INDEX(A!J:J,MATCH(MAX(A!B:B),A!B:B)),I101+H101))</f>
        <v/>
      </c>
      <c r="K101" s="23" t="str">
        <f t="shared" si="6"/>
        <v/>
      </c>
      <c r="M101" s="60" t="str">
        <f>IF(B101="","",IF(B101*2='Setup &amp; Summary'!$N$15,"midstation row!",""))</f>
        <v/>
      </c>
    </row>
    <row r="102" spans="1:13" x14ac:dyDescent="0.2">
      <c r="A102" s="69">
        <f t="shared" si="10"/>
        <v>93</v>
      </c>
      <c r="B102" s="57" t="str">
        <f>IF('Setup &amp; Summary'!$N$15&gt;A102,A!B101+1,"")</f>
        <v/>
      </c>
      <c r="C102" s="71"/>
      <c r="D102" s="72"/>
      <c r="E102" s="72"/>
      <c r="F102" s="25" t="str">
        <f t="shared" si="7"/>
        <v/>
      </c>
      <c r="G102" s="21" t="str">
        <f t="shared" si="8"/>
        <v/>
      </c>
      <c r="H102" s="25" t="str">
        <f t="shared" si="9"/>
        <v/>
      </c>
      <c r="I102" s="68" t="str">
        <f>IF(B102="","",IF(B102='Setup &amp; Summary'!$N$15,J102-H102,I103-$N$5))</f>
        <v/>
      </c>
      <c r="J102" s="22" t="str">
        <f>IF(B102="","",IF(B102='Setup &amp; Summary'!$N$15,INDEX(A!J:J,MATCH(MAX(A!B:B),A!B:B)),I102+H102))</f>
        <v/>
      </c>
      <c r="K102" s="23" t="str">
        <f t="shared" si="6"/>
        <v/>
      </c>
      <c r="M102" s="60" t="str">
        <f>IF(B102="","",IF(B102*2='Setup &amp; Summary'!$N$15,"midstation row!",""))</f>
        <v/>
      </c>
    </row>
    <row r="103" spans="1:13" x14ac:dyDescent="0.2">
      <c r="A103" s="69">
        <f t="shared" si="10"/>
        <v>94</v>
      </c>
      <c r="B103" s="57" t="str">
        <f>IF('Setup &amp; Summary'!$N$15&gt;A103,A!B102+1,"")</f>
        <v/>
      </c>
      <c r="C103" s="71"/>
      <c r="D103" s="72"/>
      <c r="E103" s="72"/>
      <c r="F103" s="25" t="str">
        <f t="shared" si="7"/>
        <v/>
      </c>
      <c r="G103" s="21" t="str">
        <f t="shared" si="8"/>
        <v/>
      </c>
      <c r="H103" s="25" t="str">
        <f t="shared" si="9"/>
        <v/>
      </c>
      <c r="I103" s="68" t="str">
        <f>IF(B103="","",IF(B103='Setup &amp; Summary'!$N$15,J103-H103,I104-$N$5))</f>
        <v/>
      </c>
      <c r="J103" s="22" t="str">
        <f>IF(B103="","",IF(B103='Setup &amp; Summary'!$N$15,INDEX(A!J:J,MATCH(MAX(A!B:B),A!B:B)),I103+H103))</f>
        <v/>
      </c>
      <c r="K103" s="23" t="str">
        <f t="shared" si="6"/>
        <v/>
      </c>
      <c r="M103" s="60" t="str">
        <f>IF(B103="","",IF(B103*2='Setup &amp; Summary'!$N$15,"midstation row!",""))</f>
        <v/>
      </c>
    </row>
    <row r="104" spans="1:13" x14ac:dyDescent="0.2">
      <c r="A104" s="69">
        <f t="shared" si="10"/>
        <v>95</v>
      </c>
      <c r="B104" s="57" t="str">
        <f>IF('Setup &amp; Summary'!$N$15&gt;A104,A!B103+1,"")</f>
        <v/>
      </c>
      <c r="C104" s="71"/>
      <c r="D104" s="72"/>
      <c r="E104" s="72"/>
      <c r="F104" s="25" t="str">
        <f t="shared" si="7"/>
        <v/>
      </c>
      <c r="G104" s="21" t="str">
        <f t="shared" si="8"/>
        <v/>
      </c>
      <c r="H104" s="25" t="str">
        <f t="shared" si="9"/>
        <v/>
      </c>
      <c r="I104" s="68" t="str">
        <f>IF(B104="","",IF(B104='Setup &amp; Summary'!$N$15,J104-H104,I105-$N$5))</f>
        <v/>
      </c>
      <c r="J104" s="22" t="str">
        <f>IF(B104="","",IF(B104='Setup &amp; Summary'!$N$15,INDEX(A!J:J,MATCH(MAX(A!B:B),A!B:B)),I104+H104))</f>
        <v/>
      </c>
      <c r="K104" s="23" t="str">
        <f t="shared" si="6"/>
        <v/>
      </c>
      <c r="M104" s="60" t="str">
        <f>IF(B104="","",IF(B104*2='Setup &amp; Summary'!$N$15,"midstation row!",""))</f>
        <v/>
      </c>
    </row>
    <row r="105" spans="1:13" x14ac:dyDescent="0.2">
      <c r="A105" s="69">
        <f t="shared" si="10"/>
        <v>96</v>
      </c>
      <c r="B105" s="57" t="str">
        <f>IF('Setup &amp; Summary'!$N$15&gt;A105,A!B104+1,"")</f>
        <v/>
      </c>
      <c r="C105" s="71"/>
      <c r="D105" s="72"/>
      <c r="E105" s="72"/>
      <c r="F105" s="25" t="str">
        <f t="shared" si="7"/>
        <v/>
      </c>
      <c r="G105" s="21" t="str">
        <f t="shared" si="8"/>
        <v/>
      </c>
      <c r="H105" s="25" t="str">
        <f t="shared" si="9"/>
        <v/>
      </c>
      <c r="I105" s="68" t="str">
        <f>IF(B105="","",IF(B105='Setup &amp; Summary'!$N$15,J105-H105,I106-$N$5))</f>
        <v/>
      </c>
      <c r="J105" s="22" t="str">
        <f>IF(B105="","",IF(B105='Setup &amp; Summary'!$N$15,INDEX(A!J:J,MATCH(MAX(A!B:B),A!B:B)),I105+H105))</f>
        <v/>
      </c>
      <c r="K105" s="23" t="str">
        <f t="shared" si="6"/>
        <v/>
      </c>
      <c r="M105" s="60" t="str">
        <f>IF(B105="","",IF(B105*2='Setup &amp; Summary'!$N$15,"midstation row!",""))</f>
        <v/>
      </c>
    </row>
    <row r="106" spans="1:13" x14ac:dyDescent="0.2">
      <c r="A106" s="69">
        <f t="shared" si="10"/>
        <v>97</v>
      </c>
      <c r="B106" s="57" t="str">
        <f>IF('Setup &amp; Summary'!$N$15&gt;A106,A!B105+1,"")</f>
        <v/>
      </c>
      <c r="C106" s="71"/>
      <c r="D106" s="72"/>
      <c r="E106" s="72"/>
      <c r="F106" s="25" t="str">
        <f t="shared" si="7"/>
        <v/>
      </c>
      <c r="G106" s="21" t="str">
        <f t="shared" si="8"/>
        <v/>
      </c>
      <c r="H106" s="25" t="str">
        <f t="shared" si="9"/>
        <v/>
      </c>
      <c r="I106" s="68" t="str">
        <f>IF(B106="","",IF(B106='Setup &amp; Summary'!$N$15,J106-H106,I107-$N$5))</f>
        <v/>
      </c>
      <c r="J106" s="22" t="str">
        <f>IF(B106="","",IF(B106='Setup &amp; Summary'!$N$15,INDEX(A!J:J,MATCH(MAX(A!B:B),A!B:B)),I106+H106))</f>
        <v/>
      </c>
      <c r="K106" s="23" t="str">
        <f t="shared" si="6"/>
        <v/>
      </c>
      <c r="M106" s="60" t="str">
        <f>IF(B106="","",IF(B106*2='Setup &amp; Summary'!$N$15,"midstation row!",""))</f>
        <v/>
      </c>
    </row>
    <row r="107" spans="1:13" x14ac:dyDescent="0.2">
      <c r="A107" s="69">
        <f t="shared" si="10"/>
        <v>98</v>
      </c>
      <c r="B107" s="57" t="str">
        <f>IF('Setup &amp; Summary'!$N$15&gt;A107,A!B106+1,"")</f>
        <v/>
      </c>
      <c r="C107" s="71"/>
      <c r="D107" s="72"/>
      <c r="E107" s="72"/>
      <c r="F107" s="25" t="str">
        <f t="shared" si="7"/>
        <v/>
      </c>
      <c r="G107" s="21" t="str">
        <f t="shared" si="8"/>
        <v/>
      </c>
      <c r="H107" s="25" t="str">
        <f t="shared" si="9"/>
        <v/>
      </c>
      <c r="I107" s="68" t="str">
        <f>IF(B107="","",IF(B107='Setup &amp; Summary'!$N$15,J107-H107,I108-$N$5))</f>
        <v/>
      </c>
      <c r="J107" s="22" t="str">
        <f>IF(B107="","",IF(B107='Setup &amp; Summary'!$N$15,INDEX(A!J:J,MATCH(MAX(A!B:B),A!B:B)),I107+H107))</f>
        <v/>
      </c>
      <c r="K107" s="23" t="str">
        <f t="shared" si="6"/>
        <v/>
      </c>
      <c r="M107" s="60" t="str">
        <f>IF(B107="","",IF(B107*2='Setup &amp; Summary'!$N$15,"midstation row!",""))</f>
        <v/>
      </c>
    </row>
    <row r="108" spans="1:13" x14ac:dyDescent="0.2">
      <c r="A108" s="69">
        <f t="shared" si="10"/>
        <v>99</v>
      </c>
      <c r="B108" s="57" t="str">
        <f>IF('Setup &amp; Summary'!$N$15&gt;A108,A!B107+1,"")</f>
        <v/>
      </c>
      <c r="C108" s="71"/>
      <c r="D108" s="72"/>
      <c r="E108" s="72"/>
      <c r="F108" s="25" t="str">
        <f t="shared" si="7"/>
        <v/>
      </c>
      <c r="G108" s="21" t="str">
        <f t="shared" si="8"/>
        <v/>
      </c>
      <c r="H108" s="25" t="str">
        <f t="shared" si="9"/>
        <v/>
      </c>
      <c r="I108" s="68" t="str">
        <f>IF(B108="","",IF(B108='Setup &amp; Summary'!$N$15,J108-H108,I109-$N$5))</f>
        <v/>
      </c>
      <c r="J108" s="22" t="str">
        <f>IF(B108="","",IF(B108='Setup &amp; Summary'!$N$15,INDEX(A!J:J,MATCH(MAX(A!B:B),A!B:B)),I108+H108))</f>
        <v/>
      </c>
      <c r="K108" s="23" t="str">
        <f t="shared" si="6"/>
        <v/>
      </c>
      <c r="M108" s="60" t="str">
        <f>IF(B108="","",IF(B108*2='Setup &amp; Summary'!$N$15,"midstation row!",""))</f>
        <v/>
      </c>
    </row>
    <row r="109" spans="1:13" x14ac:dyDescent="0.2">
      <c r="I109" s="68" t="str">
        <f>IF(B109="","",IF(B109='Setup &amp; Summary'!$N$15,J109-H109,I110-$N$5))</f>
        <v/>
      </c>
      <c r="J109" s="22" t="str">
        <f>IF(B109="","",IF(B109='Setup &amp; Summary'!$N$15,INDEX(A!J:J,MATCH(MAX(A!B:B),A!B:B)),I109+H109))</f>
        <v/>
      </c>
    </row>
    <row r="110" spans="1:13" x14ac:dyDescent="0.2">
      <c r="I110" s="68" t="str">
        <f>IF(B110="","",IF(B110='Setup &amp; Summary'!$N$15,J110-H110,I111-$N$5))</f>
        <v/>
      </c>
    </row>
    <row r="111" spans="1:13" x14ac:dyDescent="0.2">
      <c r="I111" s="68" t="str">
        <f>IF(B111="","",IF(B111='Setup &amp; Summary'!$N$15,J111-H111,I112-$N$5))</f>
        <v/>
      </c>
    </row>
    <row r="112" spans="1:13" x14ac:dyDescent="0.2">
      <c r="I112" s="68" t="str">
        <f>IF(B112="","",IF(B112='Setup &amp; Summary'!$N$15,J112-H112,I113-$N$5))</f>
        <v/>
      </c>
    </row>
    <row r="113" spans="9:9" x14ac:dyDescent="0.2">
      <c r="I113" s="68" t="str">
        <f>IF(B113="","",IF(B113='Setup &amp; Summary'!$N$15,J113-H113,I114-$N$5))</f>
        <v/>
      </c>
    </row>
    <row r="114" spans="9:9" x14ac:dyDescent="0.2">
      <c r="I114" s="68" t="str">
        <f>IF(B114="","",IF(B114='Setup &amp; Summary'!$N$15,J114-H114,I115-$N$5))</f>
        <v/>
      </c>
    </row>
    <row r="115" spans="9:9" x14ac:dyDescent="0.2">
      <c r="I115" s="68" t="str">
        <f>IF(B115="","",IF(B115='Setup &amp; Summary'!$N$15,J115-H115,I116-$N$5))</f>
        <v/>
      </c>
    </row>
    <row r="116" spans="9:9" x14ac:dyDescent="0.2">
      <c r="I116" s="68" t="str">
        <f>IF(B116="","",IF(B116='Setup &amp; Summary'!$N$15,J116-H116,I117-$N$5))</f>
        <v/>
      </c>
    </row>
    <row r="117" spans="9:9" x14ac:dyDescent="0.2">
      <c r="I117" s="68" t="str">
        <f>IF(B117="","",IF(B117='Setup &amp; Summary'!$N$15,J117-H117,I118-$N$5))</f>
        <v/>
      </c>
    </row>
    <row r="118" spans="9:9" x14ac:dyDescent="0.2">
      <c r="I118" s="68" t="str">
        <f>IF(B118="","",IF(B118='Setup &amp; Summary'!$N$15,J118-H118,I119-$N$5))</f>
        <v/>
      </c>
    </row>
    <row r="119" spans="9:9" x14ac:dyDescent="0.2">
      <c r="I119" s="68" t="str">
        <f>IF(B119="","",IF(B119='Setup &amp; Summary'!$N$15,J119-H119,I120-$N$5))</f>
        <v/>
      </c>
    </row>
    <row r="120" spans="9:9" x14ac:dyDescent="0.2">
      <c r="I120" s="68" t="str">
        <f>IF(B120="","",IF(B120='Setup &amp; Summary'!$N$15,J120-H120,I121-$N$5))</f>
        <v/>
      </c>
    </row>
    <row r="121" spans="9:9" x14ac:dyDescent="0.2">
      <c r="I121" s="68" t="str">
        <f>IF(B121="","",IF(B121='Setup &amp; Summary'!$N$15,J121-H121,I122-$N$5))</f>
        <v/>
      </c>
    </row>
    <row r="122" spans="9:9" x14ac:dyDescent="0.2">
      <c r="I122" s="68" t="str">
        <f>IF(B122="","",IF(B122='Setup &amp; Summary'!$N$15,J122-H122,I123-$N$5))</f>
        <v/>
      </c>
    </row>
    <row r="123" spans="9:9" x14ac:dyDescent="0.2">
      <c r="I123" s="68" t="str">
        <f>IF(B123="","",IF(B123='Setup &amp; Summary'!$N$15,J123-H123,I124-$N$5))</f>
        <v/>
      </c>
    </row>
    <row r="124" spans="9:9" x14ac:dyDescent="0.2">
      <c r="I124" s="68" t="str">
        <f>IF(B124="","",IF(B124='Setup &amp; Summary'!$N$15,J124-H124,I125-$N$5))</f>
        <v/>
      </c>
    </row>
    <row r="125" spans="9:9" x14ac:dyDescent="0.2">
      <c r="I125" s="68" t="str">
        <f>IF(B125="","",IF(B125='Setup &amp; Summary'!$N$15,J125-H125,I126-$N$5))</f>
        <v/>
      </c>
    </row>
    <row r="126" spans="9:9" x14ac:dyDescent="0.2">
      <c r="I126" s="68" t="str">
        <f>IF(B126="","",IF(B126='Setup &amp; Summary'!$N$15,J126-H126,I127-$N$5))</f>
        <v/>
      </c>
    </row>
    <row r="127" spans="9:9" x14ac:dyDescent="0.2">
      <c r="I127" s="68" t="str">
        <f>IF(B127="","",IF(B127='Setup &amp; Summary'!$N$15,J127-H127,I128-$N$5))</f>
        <v/>
      </c>
    </row>
    <row r="128" spans="9:9" x14ac:dyDescent="0.2">
      <c r="I128" s="68" t="str">
        <f>IF(B128="","",IF(B128='Setup &amp; Summary'!$N$15,J128-H128,I129-$N$5))</f>
        <v/>
      </c>
    </row>
    <row r="129" spans="9:9" x14ac:dyDescent="0.2">
      <c r="I129" s="68" t="str">
        <f>IF(B129="","",IF(B129='Setup &amp; Summary'!$N$15,J129-H129,I130-$N$5))</f>
        <v/>
      </c>
    </row>
    <row r="130" spans="9:9" x14ac:dyDescent="0.2">
      <c r="I130" s="68" t="str">
        <f>IF(B130="","",IF(B130='Setup &amp; Summary'!$N$15,J130-H130,I131-$N$5))</f>
        <v/>
      </c>
    </row>
    <row r="131" spans="9:9" x14ac:dyDescent="0.2">
      <c r="I131" s="68" t="str">
        <f>IF(B131="","",IF(B131='Setup &amp; Summary'!$N$15,J131-H131,I132-$N$5))</f>
        <v/>
      </c>
    </row>
    <row r="132" spans="9:9" x14ac:dyDescent="0.2">
      <c r="I132" s="68" t="str">
        <f>IF(B132="","",IF(B132='Setup &amp; Summary'!$N$15,J132-H132,I133-$N$5))</f>
        <v/>
      </c>
    </row>
    <row r="133" spans="9:9" x14ac:dyDescent="0.2">
      <c r="I133" s="68" t="str">
        <f>IF(B133="","",IF(B133='Setup &amp; Summary'!$N$15,J133-H133,I134-$N$5))</f>
        <v/>
      </c>
    </row>
    <row r="134" spans="9:9" x14ac:dyDescent="0.2">
      <c r="I134" s="68" t="str">
        <f>IF(B134="","",IF(B134='Setup &amp; Summary'!$N$15,J134-H134,I135-$N$5))</f>
        <v/>
      </c>
    </row>
    <row r="135" spans="9:9" x14ac:dyDescent="0.2">
      <c r="I135" s="68" t="str">
        <f>IF(B135="","",IF(B135='Setup &amp; Summary'!$N$15,J135-H135,I136-$N$5))</f>
        <v/>
      </c>
    </row>
    <row r="136" spans="9:9" x14ac:dyDescent="0.2">
      <c r="I136" s="68" t="str">
        <f>IF(B136="","",IF(B136='Setup &amp; Summary'!$N$15,J136-H136,I137-$N$5))</f>
        <v/>
      </c>
    </row>
    <row r="137" spans="9:9" x14ac:dyDescent="0.2">
      <c r="I137" s="68" t="str">
        <f>IF(B137="","",IF(B137='Setup &amp; Summary'!$N$15,J137-H137,I138-$N$5))</f>
        <v/>
      </c>
    </row>
    <row r="138" spans="9:9" x14ac:dyDescent="0.2">
      <c r="I138" s="68" t="str">
        <f>IF(B138="","",IF(B138='Setup &amp; Summary'!$N$15,J138-H138,I139-$N$5))</f>
        <v/>
      </c>
    </row>
    <row r="139" spans="9:9" x14ac:dyDescent="0.2">
      <c r="I139" s="68" t="str">
        <f>IF(B139="","",IF(B139='Setup &amp; Summary'!$N$15,J139-H139,I140-$N$5))</f>
        <v/>
      </c>
    </row>
    <row r="140" spans="9:9" x14ac:dyDescent="0.2">
      <c r="I140" s="68" t="str">
        <f>IF(B140="","",IF(B140='Setup &amp; Summary'!$N$15,J140-H140,I141-$N$5))</f>
        <v/>
      </c>
    </row>
    <row r="141" spans="9:9" x14ac:dyDescent="0.2">
      <c r="I141" s="68" t="str">
        <f>IF(B141="","",IF(B141='Setup &amp; Summary'!$N$15,J141-H141,I142-$N$5))</f>
        <v/>
      </c>
    </row>
    <row r="142" spans="9:9" x14ac:dyDescent="0.2">
      <c r="I142" s="68" t="str">
        <f>IF(B142="","",IF(B142='Setup &amp; Summary'!$N$15,J142-H142,I143-$N$5))</f>
        <v/>
      </c>
    </row>
    <row r="143" spans="9:9" x14ac:dyDescent="0.2">
      <c r="I143" s="68" t="str">
        <f>IF(B143="","",IF(B143='Setup &amp; Summary'!$N$15,J143-H143,I144-$N$5))</f>
        <v/>
      </c>
    </row>
    <row r="144" spans="9:9" x14ac:dyDescent="0.2">
      <c r="I144" s="68" t="str">
        <f>IF(B144="","",IF(B144='Setup &amp; Summary'!$N$15,J144-H144,I145-$N$5))</f>
        <v/>
      </c>
    </row>
    <row r="145" spans="9:9" x14ac:dyDescent="0.2">
      <c r="I145" s="68" t="str">
        <f>IF(B145="","",IF(B145='Setup &amp; Summary'!$N$15,J145-H145,I146-$N$5))</f>
        <v/>
      </c>
    </row>
    <row r="146" spans="9:9" x14ac:dyDescent="0.2">
      <c r="I146" s="68" t="str">
        <f>IF(B146="","",IF(B146='Setup &amp; Summary'!$N$15,J146-H146,I147-$N$5))</f>
        <v/>
      </c>
    </row>
    <row r="147" spans="9:9" x14ac:dyDescent="0.2">
      <c r="I147" s="68" t="str">
        <f>IF(B147="","",IF(B147='Setup &amp; Summary'!$N$15,J147-H147,I148-$N$5))</f>
        <v/>
      </c>
    </row>
    <row r="148" spans="9:9" x14ac:dyDescent="0.2">
      <c r="I148" s="68" t="str">
        <f>IF(B148="","",IF(B148='Setup &amp; Summary'!$N$15,J148-H148,I149-$N$5))</f>
        <v/>
      </c>
    </row>
    <row r="149" spans="9:9" x14ac:dyDescent="0.2">
      <c r="I149" s="68" t="str">
        <f>IF(B149="","",IF(B149='Setup &amp; Summary'!$N$15,J149-H149,I150-$N$5))</f>
        <v/>
      </c>
    </row>
    <row r="150" spans="9:9" x14ac:dyDescent="0.2">
      <c r="I150" s="68" t="str">
        <f>IF(B150="","",IF(B150='Setup &amp; Summary'!$N$15,J150-H150,I151-$N$5))</f>
        <v/>
      </c>
    </row>
    <row r="151" spans="9:9" x14ac:dyDescent="0.2">
      <c r="I151" s="68" t="str">
        <f>IF(B151="","",IF(B151='Setup &amp; Summary'!$N$15,J151-H151,I152-$N$5))</f>
        <v/>
      </c>
    </row>
    <row r="152" spans="9:9" x14ac:dyDescent="0.2">
      <c r="I152" s="68" t="str">
        <f>IF(B152="","",IF(B152='Setup &amp; Summary'!$N$15,J152-H152,I153-$N$5))</f>
        <v/>
      </c>
    </row>
    <row r="153" spans="9:9" x14ac:dyDescent="0.2">
      <c r="I153" s="68" t="str">
        <f>IF(B153="","",IF(B153='Setup &amp; Summary'!$N$15,J153-H153,I154-$N$5))</f>
        <v/>
      </c>
    </row>
    <row r="154" spans="9:9" x14ac:dyDescent="0.2">
      <c r="I154" s="68" t="str">
        <f>IF(B154="","",IF(B154='Setup &amp; Summary'!$N$15,J154-H154,I155-$N$5))</f>
        <v/>
      </c>
    </row>
    <row r="155" spans="9:9" x14ac:dyDescent="0.2">
      <c r="I155" s="68" t="str">
        <f>IF(B155="","",IF(B155='Setup &amp; Summary'!$N$15,J155-H155,I156-$N$5))</f>
        <v/>
      </c>
    </row>
    <row r="156" spans="9:9" x14ac:dyDescent="0.2">
      <c r="I156" s="68" t="str">
        <f>IF(B156="","",IF(B156='Setup &amp; Summary'!$N$15,J156-H156,I157-$N$5))</f>
        <v/>
      </c>
    </row>
    <row r="157" spans="9:9" x14ac:dyDescent="0.2">
      <c r="I157" s="68" t="str">
        <f>IF(B157="","",IF(B157='Setup &amp; Summary'!$N$15,J157-H157,I158-$N$5))</f>
        <v/>
      </c>
    </row>
    <row r="158" spans="9:9" x14ac:dyDescent="0.2">
      <c r="I158" s="68" t="str">
        <f>IF(B158="","",IF(B158='Setup &amp; Summary'!$N$15,J158-H158,I159-$N$5))</f>
        <v/>
      </c>
    </row>
    <row r="159" spans="9:9" x14ac:dyDescent="0.2">
      <c r="I159" s="68" t="str">
        <f>IF(B159="","",IF(B159='Setup &amp; Summary'!$N$15,J159-H159,I160-$N$5))</f>
        <v/>
      </c>
    </row>
    <row r="160" spans="9:9" x14ac:dyDescent="0.2">
      <c r="I160" s="68" t="str">
        <f>IF(B160="","",IF(B160='Setup &amp; Summary'!$N$15,J160-H160,I161-$N$5))</f>
        <v/>
      </c>
    </row>
    <row r="161" spans="9:9" x14ac:dyDescent="0.2">
      <c r="I161" s="68" t="str">
        <f>IF(B161="","",IF(B161='Setup &amp; Summary'!$N$15,J161-H161,I162-$N$5))</f>
        <v/>
      </c>
    </row>
    <row r="162" spans="9:9" x14ac:dyDescent="0.2">
      <c r="I162" s="68" t="str">
        <f>IF(B162="","",IF(B162='Setup &amp; Summary'!$N$15,J162-H162,I163-$N$5))</f>
        <v/>
      </c>
    </row>
    <row r="163" spans="9:9" x14ac:dyDescent="0.2">
      <c r="I163" s="68" t="str">
        <f>IF(B163="","",IF(B163='Setup &amp; Summary'!$N$15,J163-H163,I164-$N$5))</f>
        <v/>
      </c>
    </row>
    <row r="164" spans="9:9" x14ac:dyDescent="0.2">
      <c r="I164" s="68" t="str">
        <f>IF(B164="","",IF(B164='Setup &amp; Summary'!$N$15,J164-H164,I165-$N$5))</f>
        <v/>
      </c>
    </row>
    <row r="165" spans="9:9" x14ac:dyDescent="0.2">
      <c r="I165" s="68" t="str">
        <f>IF(B165="","",IF(B165='Setup &amp; Summary'!$N$15,J165-H165,I166-$N$5))</f>
        <v/>
      </c>
    </row>
    <row r="166" spans="9:9" x14ac:dyDescent="0.2">
      <c r="I166" s="68" t="str">
        <f>IF(B166="","",IF(B166='Setup &amp; Summary'!$N$15,J166-H166,I167-$N$5))</f>
        <v/>
      </c>
    </row>
    <row r="167" spans="9:9" x14ac:dyDescent="0.2">
      <c r="I167" s="68" t="str">
        <f>IF(B167="","",IF(B167='Setup &amp; Summary'!$N$15,J167-H167,I168-$N$5))</f>
        <v/>
      </c>
    </row>
    <row r="168" spans="9:9" x14ac:dyDescent="0.2">
      <c r="I168" s="68" t="str">
        <f>IF(B168="","",IF(B168='Setup &amp; Summary'!$N$15,J168-H168,I169-$N$5))</f>
        <v/>
      </c>
    </row>
    <row r="169" spans="9:9" x14ac:dyDescent="0.2">
      <c r="I169" s="68" t="str">
        <f>IF(B169="","",IF(B169='Setup &amp; Summary'!$N$15,J169-H169,I170-$N$5))</f>
        <v/>
      </c>
    </row>
    <row r="170" spans="9:9" x14ac:dyDescent="0.2">
      <c r="I170" s="68" t="str">
        <f>IF(B170="","",IF(B170='Setup &amp; Summary'!$N$15,J170-H170,I171-$N$5))</f>
        <v/>
      </c>
    </row>
    <row r="171" spans="9:9" x14ac:dyDescent="0.2">
      <c r="I171" s="68" t="str">
        <f>IF(B171="","",IF(B171='Setup &amp; Summary'!$N$15,J171-H171,I172-$N$5))</f>
        <v/>
      </c>
    </row>
    <row r="172" spans="9:9" x14ac:dyDescent="0.2">
      <c r="I172" s="68" t="str">
        <f>IF(B172="","",IF(B172='Setup &amp; Summary'!$N$15,J172-H172,I173-$N$5))</f>
        <v/>
      </c>
    </row>
    <row r="173" spans="9:9" x14ac:dyDescent="0.2">
      <c r="I173" s="68" t="str">
        <f>IF(B173="","",IF(B173='Setup &amp; Summary'!$N$15,J173-H173,I174-$N$5))</f>
        <v/>
      </c>
    </row>
    <row r="174" spans="9:9" x14ac:dyDescent="0.2">
      <c r="I174" s="68" t="str">
        <f>IF(B174="","",IF(B174='Setup &amp; Summary'!$N$15,J174-H174,I175-$N$5))</f>
        <v/>
      </c>
    </row>
    <row r="175" spans="9:9" x14ac:dyDescent="0.2">
      <c r="I175" s="68" t="str">
        <f>IF(B175="","",IF(B175='Setup &amp; Summary'!$N$15,J175-H175,I176-$N$5))</f>
        <v/>
      </c>
    </row>
    <row r="176" spans="9:9" x14ac:dyDescent="0.2">
      <c r="I176" s="68" t="str">
        <f>IF(B176="","",IF(B176='Setup &amp; Summary'!$N$15,J176-H176,I177-$N$5))</f>
        <v/>
      </c>
    </row>
    <row r="177" spans="9:9" x14ac:dyDescent="0.2">
      <c r="I177" s="68" t="str">
        <f>IF(B177="","",IF(B177='Setup &amp; Summary'!$N$15,J177-H177,I178-$N$5))</f>
        <v/>
      </c>
    </row>
    <row r="178" spans="9:9" x14ac:dyDescent="0.2">
      <c r="I178" s="68" t="str">
        <f>IF(B178="","",IF(B178='Setup &amp; Summary'!$N$15,J178-H178,I179-$N$5))</f>
        <v/>
      </c>
    </row>
    <row r="179" spans="9:9" x14ac:dyDescent="0.2">
      <c r="I179" s="68" t="str">
        <f>IF(B179="","",IF(B179='Setup &amp; Summary'!$N$15,J179-H179,I180-$N$5))</f>
        <v/>
      </c>
    </row>
    <row r="180" spans="9:9" x14ac:dyDescent="0.2">
      <c r="I180" s="68" t="str">
        <f>IF(B180="","",IF(B180='Setup &amp; Summary'!$N$15,J180-H180,I181-$N$5))</f>
        <v/>
      </c>
    </row>
    <row r="181" spans="9:9" x14ac:dyDescent="0.2">
      <c r="I181" s="68" t="str">
        <f>IF(B181="","",IF(B181='Setup &amp; Summary'!$N$15,J181-H181,I182-$N$5))</f>
        <v/>
      </c>
    </row>
    <row r="182" spans="9:9" x14ac:dyDescent="0.2">
      <c r="I182" s="68" t="str">
        <f>IF(B182="","",IF(B182='Setup &amp; Summary'!$N$15,J182-H182,I183-$N$5))</f>
        <v/>
      </c>
    </row>
    <row r="183" spans="9:9" x14ac:dyDescent="0.2">
      <c r="I183" s="68" t="str">
        <f>IF(B183="","",IF(B183='Setup &amp; Summary'!$N$15,J183-H183,I184-$N$5))</f>
        <v/>
      </c>
    </row>
    <row r="184" spans="9:9" x14ac:dyDescent="0.2">
      <c r="I184" s="68" t="str">
        <f>IF(B184="","",IF(B184='Setup &amp; Summary'!$N$15,J184-H184,I185-$N$5))</f>
        <v/>
      </c>
    </row>
    <row r="185" spans="9:9" x14ac:dyDescent="0.2">
      <c r="I185" s="68" t="str">
        <f>IF(B185="","",IF(B185='Setup &amp; Summary'!$N$15,J185-H185,I186-$N$5))</f>
        <v/>
      </c>
    </row>
    <row r="186" spans="9:9" x14ac:dyDescent="0.2">
      <c r="I186" s="68" t="str">
        <f>IF(B186="","",IF(B186='Setup &amp; Summary'!$N$15,J186-H186,I187-$N$5))</f>
        <v/>
      </c>
    </row>
    <row r="187" spans="9:9" x14ac:dyDescent="0.2">
      <c r="I187" s="68" t="str">
        <f>IF(B187="","",IF(B187='Setup &amp; Summary'!$N$15,J187-H187,I188-$N$5))</f>
        <v/>
      </c>
    </row>
    <row r="188" spans="9:9" x14ac:dyDescent="0.2">
      <c r="I188" s="68" t="str">
        <f>IF(B188="","",IF(B188='Setup &amp; Summary'!$N$15,J188-H188,I189-$N$5))</f>
        <v/>
      </c>
    </row>
    <row r="189" spans="9:9" x14ac:dyDescent="0.2">
      <c r="I189" s="68" t="str">
        <f>IF(B189="","",IF(B189='Setup &amp; Summary'!$N$15,J189-H189,I190-$N$5))</f>
        <v/>
      </c>
    </row>
    <row r="190" spans="9:9" x14ac:dyDescent="0.2">
      <c r="I190" s="68" t="str">
        <f>IF(B190="","",IF(B190='Setup &amp; Summary'!$N$15,J190-H190,I191-$N$5))</f>
        <v/>
      </c>
    </row>
    <row r="191" spans="9:9" x14ac:dyDescent="0.2">
      <c r="I191" s="68" t="str">
        <f>IF(B191="","",IF(B191='Setup &amp; Summary'!$N$15,J191-H191,I192-$N$5))</f>
        <v/>
      </c>
    </row>
    <row r="192" spans="9:9" x14ac:dyDescent="0.2">
      <c r="I192" s="68" t="str">
        <f>IF(B192="","",IF(B192='Setup &amp; Summary'!$N$15,J192-H192,I193-$N$5))</f>
        <v/>
      </c>
    </row>
    <row r="193" spans="9:9" x14ac:dyDescent="0.2">
      <c r="I193" s="68" t="str">
        <f>IF(B193="","",IF(B193='Setup &amp; Summary'!$N$15,J193-H193,I194-$N$5))</f>
        <v/>
      </c>
    </row>
    <row r="194" spans="9:9" x14ac:dyDescent="0.2">
      <c r="I194" s="68" t="str">
        <f>IF(B194="","",IF(B194='Setup &amp; Summary'!$N$15,J194-H194,I195-$N$5))</f>
        <v/>
      </c>
    </row>
    <row r="195" spans="9:9" x14ac:dyDescent="0.2">
      <c r="I195" s="68" t="str">
        <f>IF(B195="","",IF(B195='Setup &amp; Summary'!$N$15,J195-H195,I196-$N$5))</f>
        <v/>
      </c>
    </row>
    <row r="196" spans="9:9" x14ac:dyDescent="0.2">
      <c r="I196" s="68" t="str">
        <f>IF(B196="","",IF(B196='Setup &amp; Summary'!$N$15,J196-H196,I197-$N$5))</f>
        <v/>
      </c>
    </row>
    <row r="197" spans="9:9" x14ac:dyDescent="0.2">
      <c r="I197" s="68" t="str">
        <f>IF(B197="","",IF(B197='Setup &amp; Summary'!$N$15,J197-H197,I198-$N$5))</f>
        <v/>
      </c>
    </row>
    <row r="198" spans="9:9" x14ac:dyDescent="0.2">
      <c r="I198" s="68" t="str">
        <f>IF(B198="","",IF(B198='Setup &amp; Summary'!$N$15,J198-H198,I199-$N$5))</f>
        <v/>
      </c>
    </row>
    <row r="199" spans="9:9" x14ac:dyDescent="0.2">
      <c r="I199" s="68" t="str">
        <f>IF(B199="","",IF(B199='Setup &amp; Summary'!$N$15,J199-H199,I200-$N$5))</f>
        <v/>
      </c>
    </row>
  </sheetData>
  <sheetProtection sheet="1" objects="1" scenarios="1" selectLockedCells="1"/>
  <conditionalFormatting sqref="M10:M108">
    <cfRule type="cellIs" dxfId="47" priority="7" operator="equal">
      <formula>""</formula>
    </cfRule>
    <cfRule type="cellIs" dxfId="46" priority="8" operator="equal">
      <formula>"Midstation Row!"</formula>
    </cfRule>
  </conditionalFormatting>
  <conditionalFormatting sqref="L10:M28 L32:M108 J1:K3 B10:B108 M11:M108 F10:I30 F31:H108 I31:I199">
    <cfRule type="cellIs" dxfId="45" priority="6" operator="equal">
      <formula>""</formula>
    </cfRule>
  </conditionalFormatting>
  <conditionalFormatting sqref="J10:K109">
    <cfRule type="cellIs" dxfId="44" priority="5" operator="equal">
      <formula>""</formula>
    </cfRule>
  </conditionalFormatting>
  <conditionalFormatting sqref="C9:E9">
    <cfRule type="expression" dxfId="43" priority="4">
      <formula>$B9=""</formula>
    </cfRule>
  </conditionalFormatting>
  <conditionalFormatting sqref="C10:E108">
    <cfRule type="expression" dxfId="42" priority="3">
      <formula>$B10=""</formula>
    </cfRule>
  </conditionalFormatting>
  <conditionalFormatting sqref="I10">
    <cfRule type="expression" dxfId="41" priority="2">
      <formula>$M10="Midstation Row!"</formula>
    </cfRule>
  </conditionalFormatting>
  <conditionalFormatting sqref="I10:I199">
    <cfRule type="expression" dxfId="40" priority="1">
      <formula>$M10="Midstation Row!"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08"/>
  <sheetViews>
    <sheetView zoomScale="70" zoomScaleNormal="70" workbookViewId="0">
      <selection activeCell="C9" sqref="C9"/>
    </sheetView>
  </sheetViews>
  <sheetFormatPr defaultRowHeight="12.75" x14ac:dyDescent="0.2"/>
  <cols>
    <col min="1" max="1" width="3.42578125" style="70" customWidth="1"/>
    <col min="13" max="13" width="23.42578125" customWidth="1"/>
    <col min="14" max="14" width="7.5703125" customWidth="1"/>
  </cols>
  <sheetData>
    <row r="1" spans="1:14" x14ac:dyDescent="0.2">
      <c r="A1" s="69"/>
      <c r="B1" s="28"/>
      <c r="C1" s="28"/>
      <c r="D1" s="28"/>
      <c r="E1" s="28"/>
      <c r="F1" s="28"/>
      <c r="G1" s="28"/>
      <c r="H1" s="28"/>
      <c r="I1" s="28"/>
      <c r="J1" s="31">
        <f>MIN(K:K)</f>
        <v>-160.99999999999966</v>
      </c>
      <c r="K1" t="s">
        <v>4</v>
      </c>
      <c r="M1" s="28"/>
      <c r="N1" s="28"/>
    </row>
    <row r="2" spans="1:14" ht="18" x14ac:dyDescent="0.25">
      <c r="A2" s="69"/>
      <c r="B2" s="1" t="str">
        <f>'Setup &amp; Summary'!P10&amp;"""x"&amp;'Setup &amp; Summary'!P11&amp;""" Plate, "&amp;'Setup &amp; Summary'!N16&amp;""" Foot Pad Distance"</f>
        <v>36"x48" Plate, 2" Foot Pad Distance</v>
      </c>
      <c r="G2" s="2" t="s">
        <v>21</v>
      </c>
      <c r="J2" s="31">
        <f>MAX(K:K)</f>
        <v>9</v>
      </c>
      <c r="K2" t="s">
        <v>5</v>
      </c>
    </row>
    <row r="3" spans="1:14" x14ac:dyDescent="0.2">
      <c r="A3" s="69"/>
      <c r="J3" s="31">
        <f>ABS(J1-J2)</f>
        <v>169.99999999999966</v>
      </c>
      <c r="K3" t="s">
        <v>6</v>
      </c>
    </row>
    <row r="4" spans="1:14" ht="13.5" thickBot="1" x14ac:dyDescent="0.25">
      <c r="A4" s="69"/>
    </row>
    <row r="5" spans="1:14" ht="13.5" thickTop="1" x14ac:dyDescent="0.2">
      <c r="A5" s="69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61" t="s">
        <v>0</v>
      </c>
      <c r="L5" s="66"/>
      <c r="M5" s="6" t="s">
        <v>1</v>
      </c>
      <c r="N5" s="7">
        <f>(INDEX(I:I,MATCH(MAX(B:B),B:B))-I8)/MAX(B:B)</f>
        <v>1.3552083333333365</v>
      </c>
    </row>
    <row r="6" spans="1:14" ht="13.5" thickBot="1" x14ac:dyDescent="0.25">
      <c r="A6" s="69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62">
        <v>9</v>
      </c>
      <c r="L6" s="66"/>
      <c r="M6" s="11" t="s">
        <v>2</v>
      </c>
      <c r="N6" s="12">
        <f>'Setup &amp; Summary'!$N$16</f>
        <v>2</v>
      </c>
    </row>
    <row r="7" spans="1:14" ht="13.5" thickTop="1" x14ac:dyDescent="0.2">
      <c r="A7" s="69"/>
      <c r="B7" s="13"/>
      <c r="C7" s="14"/>
      <c r="D7" s="15"/>
      <c r="E7" s="15"/>
      <c r="F7" s="15"/>
      <c r="G7" s="15"/>
      <c r="H7" s="15"/>
      <c r="I7" s="15"/>
      <c r="J7" s="15"/>
      <c r="K7" s="63"/>
      <c r="L7" s="67"/>
      <c r="M7" s="6" t="s">
        <v>3</v>
      </c>
      <c r="N7" s="16">
        <f>N6*5</f>
        <v>10</v>
      </c>
    </row>
    <row r="8" spans="1:14" x14ac:dyDescent="0.2">
      <c r="A8" s="69"/>
      <c r="B8" s="57" t="s">
        <v>68</v>
      </c>
      <c r="C8" s="17"/>
      <c r="D8" s="18"/>
      <c r="E8" s="18"/>
      <c r="F8" s="19"/>
      <c r="G8" s="19"/>
      <c r="H8" s="20">
        <v>0</v>
      </c>
      <c r="I8" s="25">
        <f>INDEX(A!J:J,MATCH(MAX(A!B:B),A!B:B))</f>
        <v>-6.916666666666667</v>
      </c>
      <c r="J8" s="22">
        <f>IF(B8="","",I8+H8)</f>
        <v>-6.916666666666667</v>
      </c>
      <c r="K8" s="64">
        <f>IF(B8="","",J8*$N$7)</f>
        <v>-69.166666666666671</v>
      </c>
      <c r="L8" s="67"/>
      <c r="N8" s="24"/>
    </row>
    <row r="9" spans="1:14" x14ac:dyDescent="0.2">
      <c r="A9" s="69"/>
      <c r="B9" s="38">
        <v>1</v>
      </c>
      <c r="C9" s="71">
        <v>8.4</v>
      </c>
      <c r="D9" s="72">
        <v>8.3000000000000007</v>
      </c>
      <c r="E9" s="72">
        <v>8.1</v>
      </c>
      <c r="F9" s="25">
        <f>AVERAGE(C9:E9)</f>
        <v>8.2666666666666675</v>
      </c>
      <c r="G9" s="21">
        <f>F9-$F$9</f>
        <v>0</v>
      </c>
      <c r="H9" s="21">
        <f>H8+G9</f>
        <v>0</v>
      </c>
      <c r="I9" s="25">
        <f>I10-$N$5</f>
        <v>-5.5614583333333325</v>
      </c>
      <c r="J9" s="22">
        <f>IF(B9="","",I9+H9)</f>
        <v>-5.5614583333333325</v>
      </c>
      <c r="K9" s="64">
        <f t="shared" ref="K9:K72" si="0">IF(B9="","",J9*$N$7)</f>
        <v>-55.614583333333329</v>
      </c>
      <c r="L9" s="67"/>
    </row>
    <row r="10" spans="1:14" x14ac:dyDescent="0.2">
      <c r="A10" s="69">
        <v>1</v>
      </c>
      <c r="B10" s="57">
        <f>IF('Setup &amp; Summary'!$N$14&gt;A10,B9+1,"")</f>
        <v>2</v>
      </c>
      <c r="C10" s="71">
        <v>8.4</v>
      </c>
      <c r="D10" s="72">
        <v>8.1999999999999993</v>
      </c>
      <c r="E10" s="72">
        <v>8.3000000000000007</v>
      </c>
      <c r="F10" s="25">
        <f t="shared" ref="F10:F73" si="1">IF(B10="","",AVERAGE(C10:E10))</f>
        <v>8.3000000000000007</v>
      </c>
      <c r="G10" s="21">
        <f t="shared" ref="G10:G73" si="2">IF(B10="","",F10-$F$9)</f>
        <v>3.3333333333333215E-2</v>
      </c>
      <c r="H10" s="25">
        <f t="shared" ref="H10:H73" si="3">IF(B10="","",H9+G10)</f>
        <v>3.3333333333333215E-2</v>
      </c>
      <c r="I10" s="68">
        <f>IF(B10="","",IF(B10='Setup &amp; Summary'!$N$14,J10-H10,I11-$N$5))</f>
        <v>-4.2062499999999963</v>
      </c>
      <c r="J10" s="22">
        <f>IF(B10="","",IF(B10='Setup &amp; Summary'!$N$14,INDEX(B!J:J,MATCH(MAX(B!B:B),B!B:B)),I10+H10))</f>
        <v>-4.1729166666666631</v>
      </c>
      <c r="K10" s="23">
        <f t="shared" si="0"/>
        <v>-41.729166666666629</v>
      </c>
      <c r="L10" s="65"/>
      <c r="M10" s="60" t="str">
        <f>IF(B10="","",IF(B10*2='Setup &amp; Summary'!$N$14,"midstation row!",""))</f>
        <v/>
      </c>
    </row>
    <row r="11" spans="1:14" x14ac:dyDescent="0.2">
      <c r="A11" s="69">
        <f>A10+1</f>
        <v>2</v>
      </c>
      <c r="B11" s="57">
        <f>IF('Setup &amp; Summary'!$N$14&gt;A11,B10+1,"")</f>
        <v>3</v>
      </c>
      <c r="C11" s="71">
        <v>7.9</v>
      </c>
      <c r="D11" s="72">
        <v>8</v>
      </c>
      <c r="E11" s="72">
        <v>8.1999999999999993</v>
      </c>
      <c r="F11" s="25">
        <f t="shared" si="1"/>
        <v>8.0333333333333332</v>
      </c>
      <c r="G11" s="21">
        <f t="shared" si="2"/>
        <v>-0.23333333333333428</v>
      </c>
      <c r="H11" s="25">
        <f t="shared" si="3"/>
        <v>-0.20000000000000107</v>
      </c>
      <c r="I11" s="68">
        <f>IF(B11="","",IF(B11='Setup &amp; Summary'!$N$14,J11-H11,I12-$N$5))</f>
        <v>-2.85104166666666</v>
      </c>
      <c r="J11" s="22">
        <f>IF(B11="","",IF(B11='Setup &amp; Summary'!$N$14,INDEX(B!J:J,MATCH(MAX(B!B:B),B!B:B)),I11+H11))</f>
        <v>-3.0510416666666611</v>
      </c>
      <c r="K11" s="23">
        <f t="shared" si="0"/>
        <v>-30.510416666666611</v>
      </c>
      <c r="L11" s="59"/>
      <c r="M11" s="60" t="str">
        <f>IF(B11="","",IF(B11*2='Setup &amp; Summary'!$N$14,"midstation row!",""))</f>
        <v/>
      </c>
    </row>
    <row r="12" spans="1:14" x14ac:dyDescent="0.2">
      <c r="A12" s="69">
        <f t="shared" ref="A12:A75" si="4">A11+1</f>
        <v>3</v>
      </c>
      <c r="B12" s="57">
        <f>IF('Setup &amp; Summary'!$N$14&gt;A12,B11+1,"")</f>
        <v>4</v>
      </c>
      <c r="C12" s="71">
        <v>7</v>
      </c>
      <c r="D12" s="72">
        <v>7.2</v>
      </c>
      <c r="E12" s="72">
        <v>7.4</v>
      </c>
      <c r="F12" s="25">
        <f t="shared" si="1"/>
        <v>7.2</v>
      </c>
      <c r="G12" s="21">
        <f t="shared" si="2"/>
        <v>-1.0666666666666673</v>
      </c>
      <c r="H12" s="25">
        <f t="shared" si="3"/>
        <v>-1.2666666666666684</v>
      </c>
      <c r="I12" s="68">
        <f>IF(B12="","",IF(B12='Setup &amp; Summary'!$N$14,J12-H12,I13-$N$5))</f>
        <v>-1.4958333333333236</v>
      </c>
      <c r="J12" s="22">
        <f>IF(B12="","",IF(B12='Setup &amp; Summary'!$N$14,INDEX(B!J:J,MATCH(MAX(B!B:B),B!B:B)),I12+H12))</f>
        <v>-2.7624999999999922</v>
      </c>
      <c r="K12" s="23">
        <f t="shared" si="0"/>
        <v>-27.624999999999922</v>
      </c>
      <c r="L12" s="59"/>
      <c r="M12" s="60" t="str">
        <f>IF(B12="","",IF(B12*2='Setup &amp; Summary'!$N$14,"midstation row!",""))</f>
        <v/>
      </c>
    </row>
    <row r="13" spans="1:14" x14ac:dyDescent="0.2">
      <c r="A13" s="69">
        <f t="shared" si="4"/>
        <v>4</v>
      </c>
      <c r="B13" s="57">
        <f>IF('Setup &amp; Summary'!$N$14&gt;A13,B12+1,"")</f>
        <v>5</v>
      </c>
      <c r="C13" s="71">
        <v>7.2</v>
      </c>
      <c r="D13" s="72">
        <v>7.2</v>
      </c>
      <c r="E13" s="72">
        <v>7.1</v>
      </c>
      <c r="F13" s="25">
        <f t="shared" si="1"/>
        <v>7.166666666666667</v>
      </c>
      <c r="G13" s="21">
        <f t="shared" si="2"/>
        <v>-1.1000000000000005</v>
      </c>
      <c r="H13" s="25">
        <f t="shared" si="3"/>
        <v>-2.3666666666666689</v>
      </c>
      <c r="I13" s="68">
        <f>IF(B13="","",IF(B13='Setup &amp; Summary'!$N$14,J13-H13,I14-$N$5))</f>
        <v>-0.14062499999998712</v>
      </c>
      <c r="J13" s="22">
        <f>IF(B13="","",IF(B13='Setup &amp; Summary'!$N$14,INDEX(B!J:J,MATCH(MAX(B!B:B),B!B:B)),I13+H13))</f>
        <v>-2.507291666666656</v>
      </c>
      <c r="K13" s="23">
        <f t="shared" si="0"/>
        <v>-25.072916666666561</v>
      </c>
      <c r="L13" s="59"/>
      <c r="M13" s="60" t="str">
        <f>IF(B13="","",IF(B13*2='Setup &amp; Summary'!$N$14,"midstation row!",""))</f>
        <v/>
      </c>
    </row>
    <row r="14" spans="1:14" x14ac:dyDescent="0.2">
      <c r="A14" s="69">
        <f t="shared" si="4"/>
        <v>5</v>
      </c>
      <c r="B14" s="57">
        <f>IF('Setup &amp; Summary'!$N$14&gt;A14,B13+1,"")</f>
        <v>6</v>
      </c>
      <c r="C14" s="71">
        <v>6.7</v>
      </c>
      <c r="D14" s="72">
        <v>6.8</v>
      </c>
      <c r="E14" s="72">
        <v>6.5</v>
      </c>
      <c r="F14" s="25">
        <f t="shared" si="1"/>
        <v>6.666666666666667</v>
      </c>
      <c r="G14" s="21">
        <f t="shared" si="2"/>
        <v>-1.6000000000000005</v>
      </c>
      <c r="H14" s="25">
        <f t="shared" si="3"/>
        <v>-3.9666666666666694</v>
      </c>
      <c r="I14" s="68">
        <f>IF(B14="","",IF(B14='Setup &amp; Summary'!$N$14,J14-H14,I15-$N$5))</f>
        <v>1.2145833333333493</v>
      </c>
      <c r="J14" s="22">
        <f>IF(B14="","",IF(B14='Setup &amp; Summary'!$N$14,INDEX(B!J:J,MATCH(MAX(B!B:B),B!B:B)),I14+H14))</f>
        <v>-2.7520833333333199</v>
      </c>
      <c r="K14" s="23">
        <f t="shared" si="0"/>
        <v>-27.520833333333201</v>
      </c>
      <c r="L14" s="59"/>
      <c r="M14" s="60" t="str">
        <f>IF(B14="","",IF(B14*2='Setup &amp; Summary'!$N$14,"midstation row!",""))</f>
        <v/>
      </c>
    </row>
    <row r="15" spans="1:14" x14ac:dyDescent="0.2">
      <c r="A15" s="69">
        <f t="shared" si="4"/>
        <v>6</v>
      </c>
      <c r="B15" s="57">
        <f>IF('Setup &amp; Summary'!$N$14&gt;A15,B14+1,"")</f>
        <v>7</v>
      </c>
      <c r="C15" s="71">
        <v>4</v>
      </c>
      <c r="D15" s="72">
        <v>4.2</v>
      </c>
      <c r="E15" s="72">
        <v>3.8</v>
      </c>
      <c r="F15" s="25">
        <f t="shared" si="1"/>
        <v>4</v>
      </c>
      <c r="G15" s="21">
        <f t="shared" si="2"/>
        <v>-4.2666666666666675</v>
      </c>
      <c r="H15" s="25">
        <f t="shared" si="3"/>
        <v>-8.2333333333333378</v>
      </c>
      <c r="I15" s="68">
        <f>IF(B15="","",IF(B15='Setup &amp; Summary'!$N$14,J15-H15,I16-$N$5))</f>
        <v>2.5697916666666858</v>
      </c>
      <c r="J15" s="22">
        <f>IF(B15="","",IF(B15='Setup &amp; Summary'!$N$14,INDEX(B!J:J,MATCH(MAX(B!B:B),B!B:B)),I15+H15))</f>
        <v>-5.663541666666652</v>
      </c>
      <c r="K15" s="23">
        <f t="shared" si="0"/>
        <v>-56.635416666666522</v>
      </c>
      <c r="L15" s="59"/>
      <c r="M15" s="60" t="str">
        <f>IF(B15="","",IF(B15*2='Setup &amp; Summary'!$N$14,"midstation row!",""))</f>
        <v/>
      </c>
    </row>
    <row r="16" spans="1:14" x14ac:dyDescent="0.2">
      <c r="A16" s="69">
        <f t="shared" si="4"/>
        <v>7</v>
      </c>
      <c r="B16" s="57">
        <f>IF('Setup &amp; Summary'!$N$14&gt;A16,B15+1,"")</f>
        <v>8</v>
      </c>
      <c r="C16" s="71">
        <v>5.2</v>
      </c>
      <c r="D16" s="72">
        <v>5.6</v>
      </c>
      <c r="E16" s="72">
        <v>5.6</v>
      </c>
      <c r="F16" s="25">
        <f t="shared" si="1"/>
        <v>5.4666666666666659</v>
      </c>
      <c r="G16" s="21">
        <f t="shared" si="2"/>
        <v>-2.8000000000000016</v>
      </c>
      <c r="H16" s="25">
        <f t="shared" si="3"/>
        <v>-11.033333333333339</v>
      </c>
      <c r="I16" s="68">
        <f>IF(B16="","",IF(B16='Setup &amp; Summary'!$N$14,J16-H16,I17-$N$5))</f>
        <v>3.925000000000022</v>
      </c>
      <c r="J16" s="22">
        <f>IF(B16="","",IF(B16='Setup &amp; Summary'!$N$14,INDEX(B!J:J,MATCH(MAX(B!B:B),B!B:B)),I16+H16))</f>
        <v>-7.1083333333333165</v>
      </c>
      <c r="K16" s="23">
        <f t="shared" si="0"/>
        <v>-71.083333333333172</v>
      </c>
      <c r="L16" s="59"/>
      <c r="M16" s="60" t="str">
        <f>IF(B16="","",IF(B16*2='Setup &amp; Summary'!$N$14,"midstation row!",""))</f>
        <v>midstation row!</v>
      </c>
    </row>
    <row r="17" spans="1:14" x14ac:dyDescent="0.2">
      <c r="A17" s="69">
        <f t="shared" si="4"/>
        <v>8</v>
      </c>
      <c r="B17" s="57">
        <f>IF('Setup &amp; Summary'!$N$14&gt;A17,B16+1,"")</f>
        <v>9</v>
      </c>
      <c r="C17" s="71">
        <v>4.8</v>
      </c>
      <c r="D17" s="72">
        <v>5</v>
      </c>
      <c r="E17" s="72">
        <v>4.9000000000000004</v>
      </c>
      <c r="F17" s="25">
        <f t="shared" si="1"/>
        <v>4.9000000000000004</v>
      </c>
      <c r="G17" s="21">
        <f t="shared" si="2"/>
        <v>-3.3666666666666671</v>
      </c>
      <c r="H17" s="25">
        <f t="shared" si="3"/>
        <v>-14.400000000000006</v>
      </c>
      <c r="I17" s="68">
        <f>IF(B17="","",IF(B17='Setup &amp; Summary'!$N$14,J17-H17,I18-$N$5))</f>
        <v>5.2802083333333583</v>
      </c>
      <c r="J17" s="22">
        <f>IF(B17="","",IF(B17='Setup &amp; Summary'!$N$14,INDEX(B!J:J,MATCH(MAX(B!B:B),B!B:B)),I17+H17))</f>
        <v>-9.1197916666666465</v>
      </c>
      <c r="K17" s="23">
        <f t="shared" si="0"/>
        <v>-91.197916666666458</v>
      </c>
      <c r="L17" s="59"/>
      <c r="M17" s="60" t="str">
        <f>IF(B17="","",IF(B17*2='Setup &amp; Summary'!$N$14,"midstation row!",""))</f>
        <v/>
      </c>
      <c r="N17" s="58"/>
    </row>
    <row r="18" spans="1:14" x14ac:dyDescent="0.2">
      <c r="A18" s="69">
        <f t="shared" si="4"/>
        <v>9</v>
      </c>
      <c r="B18" s="57">
        <f>IF('Setup &amp; Summary'!$N$14&gt;A18,B17+1,"")</f>
        <v>10</v>
      </c>
      <c r="C18" s="71">
        <v>6.2</v>
      </c>
      <c r="D18" s="72">
        <v>6</v>
      </c>
      <c r="E18" s="72">
        <v>6</v>
      </c>
      <c r="F18" s="25">
        <f t="shared" si="1"/>
        <v>6.0666666666666664</v>
      </c>
      <c r="G18" s="21">
        <f t="shared" si="2"/>
        <v>-2.2000000000000011</v>
      </c>
      <c r="H18" s="25">
        <f t="shared" si="3"/>
        <v>-16.600000000000009</v>
      </c>
      <c r="I18" s="68">
        <f>IF(B18="","",IF(B18='Setup &amp; Summary'!$N$14,J18-H18,I19-$N$5))</f>
        <v>6.6354166666666945</v>
      </c>
      <c r="J18" s="22">
        <f>IF(B18="","",IF(B18='Setup &amp; Summary'!$N$14,INDEX(B!J:J,MATCH(MAX(B!B:B),B!B:B)),I18+H18))</f>
        <v>-9.964583333333314</v>
      </c>
      <c r="K18" s="23">
        <f t="shared" si="0"/>
        <v>-99.645833333333144</v>
      </c>
      <c r="L18" s="59"/>
      <c r="M18" s="60" t="str">
        <f>IF(B18="","",IF(B18*2='Setup &amp; Summary'!$N$14,"midstation row!",""))</f>
        <v/>
      </c>
    </row>
    <row r="19" spans="1:14" x14ac:dyDescent="0.2">
      <c r="A19" s="69">
        <f t="shared" si="4"/>
        <v>10</v>
      </c>
      <c r="B19" s="57">
        <f>IF('Setup &amp; Summary'!$N$14&gt;A19,B18+1,"")</f>
        <v>11</v>
      </c>
      <c r="C19" s="71">
        <v>4.8</v>
      </c>
      <c r="D19" s="72">
        <v>5.2</v>
      </c>
      <c r="E19" s="72">
        <v>5</v>
      </c>
      <c r="F19" s="25">
        <f t="shared" si="1"/>
        <v>5</v>
      </c>
      <c r="G19" s="21">
        <f t="shared" si="2"/>
        <v>-3.2666666666666675</v>
      </c>
      <c r="H19" s="25">
        <f t="shared" si="3"/>
        <v>-19.866666666666674</v>
      </c>
      <c r="I19" s="68">
        <f>IF(B19="","",IF(B19='Setup &amp; Summary'!$N$14,J19-H19,I20-$N$5))</f>
        <v>7.9906250000000307</v>
      </c>
      <c r="J19" s="22">
        <f>IF(B19="","",IF(B19='Setup &amp; Summary'!$N$14,INDEX(B!J:J,MATCH(MAX(B!B:B),B!B:B)),I19+H19))</f>
        <v>-11.876041666666644</v>
      </c>
      <c r="K19" s="23">
        <f t="shared" si="0"/>
        <v>-118.76041666666644</v>
      </c>
      <c r="L19" s="59"/>
      <c r="M19" s="60" t="str">
        <f>IF(B19="","",IF(B19*2='Setup &amp; Summary'!$N$14,"midstation row!",""))</f>
        <v/>
      </c>
    </row>
    <row r="20" spans="1:14" x14ac:dyDescent="0.2">
      <c r="A20" s="69">
        <f t="shared" si="4"/>
        <v>11</v>
      </c>
      <c r="B20" s="57">
        <f>IF('Setup &amp; Summary'!$N$14&gt;A20,B19+1,"")</f>
        <v>12</v>
      </c>
      <c r="C20" s="71">
        <v>5.4</v>
      </c>
      <c r="D20" s="72">
        <v>5.2</v>
      </c>
      <c r="E20" s="72">
        <v>5.2</v>
      </c>
      <c r="F20" s="25">
        <f t="shared" si="1"/>
        <v>5.2666666666666666</v>
      </c>
      <c r="G20" s="21">
        <f t="shared" si="2"/>
        <v>-3.0000000000000009</v>
      </c>
      <c r="H20" s="25">
        <f t="shared" si="3"/>
        <v>-22.866666666666674</v>
      </c>
      <c r="I20" s="68">
        <f>IF(B20="","",IF(B20='Setup &amp; Summary'!$N$14,J20-H20,I21-$N$5))</f>
        <v>9.345833333333367</v>
      </c>
      <c r="J20" s="22">
        <f>IF(B20="","",IF(B20='Setup &amp; Summary'!$N$14,INDEX(B!J:J,MATCH(MAX(B!B:B),B!B:B)),I20+H20))</f>
        <v>-13.520833333333307</v>
      </c>
      <c r="K20" s="23">
        <f t="shared" si="0"/>
        <v>-135.20833333333309</v>
      </c>
      <c r="L20" s="59"/>
      <c r="M20" s="60" t="str">
        <f>IF(B20="","",IF(B20*2='Setup &amp; Summary'!$N$14,"midstation row!",""))</f>
        <v/>
      </c>
    </row>
    <row r="21" spans="1:14" x14ac:dyDescent="0.2">
      <c r="A21" s="69">
        <f t="shared" si="4"/>
        <v>12</v>
      </c>
      <c r="B21" s="57">
        <f>IF('Setup &amp; Summary'!$N$14&gt;A21,B20+1,"")</f>
        <v>13</v>
      </c>
      <c r="C21" s="71">
        <v>5.6</v>
      </c>
      <c r="D21" s="72">
        <v>5.4</v>
      </c>
      <c r="E21" s="72">
        <v>5.3</v>
      </c>
      <c r="F21" s="25">
        <f t="shared" si="1"/>
        <v>5.4333333333333336</v>
      </c>
      <c r="G21" s="21">
        <f t="shared" si="2"/>
        <v>-2.8333333333333339</v>
      </c>
      <c r="H21" s="25">
        <f t="shared" si="3"/>
        <v>-25.70000000000001</v>
      </c>
      <c r="I21" s="68">
        <f>IF(B21="","",IF(B21='Setup &amp; Summary'!$N$14,J21-H21,I22-$N$5))</f>
        <v>10.701041666666704</v>
      </c>
      <c r="J21" s="22">
        <f>IF(B21="","",IF(B21='Setup &amp; Summary'!$N$14,INDEX(B!J:J,MATCH(MAX(B!B:B),B!B:B)),I21+H21))</f>
        <v>-14.998958333333306</v>
      </c>
      <c r="K21" s="23">
        <f t="shared" si="0"/>
        <v>-149.98958333333306</v>
      </c>
      <c r="L21" s="59"/>
      <c r="M21" s="60" t="str">
        <f>IF(B21="","",IF(B21*2='Setup &amp; Summary'!$N$14,"midstation row!",""))</f>
        <v/>
      </c>
    </row>
    <row r="22" spans="1:14" x14ac:dyDescent="0.2">
      <c r="A22" s="69">
        <f t="shared" si="4"/>
        <v>13</v>
      </c>
      <c r="B22" s="57">
        <f>IF('Setup &amp; Summary'!$N$14&gt;A22,B21+1,"")</f>
        <v>14</v>
      </c>
      <c r="C22" s="71">
        <v>6.5</v>
      </c>
      <c r="D22" s="72">
        <v>6.3</v>
      </c>
      <c r="E22" s="72">
        <v>6.5</v>
      </c>
      <c r="F22" s="25">
        <f t="shared" si="1"/>
        <v>6.4333333333333336</v>
      </c>
      <c r="G22" s="21">
        <f t="shared" si="2"/>
        <v>-1.8333333333333339</v>
      </c>
      <c r="H22" s="25">
        <f t="shared" si="3"/>
        <v>-27.533333333333346</v>
      </c>
      <c r="I22" s="68">
        <f>IF(B22="","",IF(B22='Setup &amp; Summary'!$N$14,J22-H22,I23-$N$5))</f>
        <v>12.056250000000041</v>
      </c>
      <c r="J22" s="22">
        <f>IF(B22="","",IF(B22='Setup &amp; Summary'!$N$14,INDEX(B!J:J,MATCH(MAX(B!B:B),B!B:B)),I22+H22))</f>
        <v>-15.477083333333304</v>
      </c>
      <c r="K22" s="23">
        <f t="shared" si="0"/>
        <v>-154.77083333333303</v>
      </c>
      <c r="L22" s="59"/>
      <c r="M22" s="60" t="str">
        <f>IF(B22="","",IF(B22*2='Setup &amp; Summary'!$N$14,"midstation row!",""))</f>
        <v/>
      </c>
    </row>
    <row r="23" spans="1:14" x14ac:dyDescent="0.2">
      <c r="A23" s="69">
        <f t="shared" si="4"/>
        <v>14</v>
      </c>
      <c r="B23" s="57">
        <f>IF('Setup &amp; Summary'!$N$14&gt;A23,B22+1,"")</f>
        <v>15</v>
      </c>
      <c r="C23" s="71">
        <v>6.5</v>
      </c>
      <c r="D23" s="72">
        <v>6.5</v>
      </c>
      <c r="E23" s="72">
        <v>6.3</v>
      </c>
      <c r="F23" s="25">
        <f t="shared" si="1"/>
        <v>6.4333333333333336</v>
      </c>
      <c r="G23" s="21">
        <f t="shared" si="2"/>
        <v>-1.8333333333333339</v>
      </c>
      <c r="H23" s="25">
        <f t="shared" si="3"/>
        <v>-29.366666666666681</v>
      </c>
      <c r="I23" s="68">
        <f>IF(B23="","",IF(B23='Setup &amp; Summary'!$N$14,J23-H23,I24-$N$5))</f>
        <v>13.411458333333378</v>
      </c>
      <c r="J23" s="22">
        <f>IF(B23="","",IF(B23='Setup &amp; Summary'!$N$14,INDEX(B!J:J,MATCH(MAX(B!B:B),B!B:B)),I23+H23))</f>
        <v>-15.955208333333303</v>
      </c>
      <c r="K23" s="23">
        <f t="shared" si="0"/>
        <v>-159.55208333333303</v>
      </c>
      <c r="L23" s="59"/>
      <c r="M23" s="60" t="str">
        <f>IF(B23="","",IF(B23*2='Setup &amp; Summary'!$N$14,"midstation row!",""))</f>
        <v/>
      </c>
    </row>
    <row r="24" spans="1:14" x14ac:dyDescent="0.2">
      <c r="A24" s="69">
        <f t="shared" si="4"/>
        <v>15</v>
      </c>
      <c r="B24" s="57">
        <f>IF('Setup &amp; Summary'!$N$14&gt;A24,B23+1,"")</f>
        <v>16</v>
      </c>
      <c r="C24" s="71">
        <v>6.7</v>
      </c>
      <c r="D24" s="72">
        <v>6.8</v>
      </c>
      <c r="E24" s="72">
        <v>6.8</v>
      </c>
      <c r="F24" s="25">
        <f t="shared" si="1"/>
        <v>6.7666666666666666</v>
      </c>
      <c r="G24" s="21">
        <f t="shared" si="2"/>
        <v>-1.5000000000000009</v>
      </c>
      <c r="H24" s="25">
        <f t="shared" si="3"/>
        <v>-30.866666666666681</v>
      </c>
      <c r="I24" s="68">
        <f>IF(B24="","",IF(B24='Setup &amp; Summary'!$N$14,J24-H24,I25-$N$5))</f>
        <v>14.766666666666715</v>
      </c>
      <c r="J24" s="22">
        <f>IF(B24="","",IF(B24='Setup &amp; Summary'!$N$14,INDEX(B!J:J,MATCH(MAX(B!B:B),B!B:B)),I24+H24))</f>
        <v>-16.099999999999966</v>
      </c>
      <c r="K24" s="23">
        <f t="shared" si="0"/>
        <v>-160.99999999999966</v>
      </c>
      <c r="L24" s="59"/>
      <c r="M24" s="60" t="str">
        <f>IF(B24="","",IF(B24*2='Setup &amp; Summary'!$N$14,"midstation row!",""))</f>
        <v/>
      </c>
    </row>
    <row r="25" spans="1:14" x14ac:dyDescent="0.2">
      <c r="A25" s="69">
        <f t="shared" si="4"/>
        <v>16</v>
      </c>
      <c r="B25" s="57" t="str">
        <f>IF('Setup &amp; Summary'!$N$14&gt;A25,B24+1,"")</f>
        <v/>
      </c>
      <c r="C25" s="71"/>
      <c r="D25" s="72"/>
      <c r="E25" s="72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68" t="str">
        <f>IF(B25="","",IF(B25='Setup &amp; Summary'!$N$14,J25-H25,I26-$N$5))</f>
        <v/>
      </c>
      <c r="J25" s="22" t="str">
        <f>IF(B25="","",IF(B25='Setup &amp; Summary'!$N$14,INDEX(B!J:J,MATCH(MAX(B!B:B),B!B:B)),I25+H25))</f>
        <v/>
      </c>
      <c r="K25" s="23" t="str">
        <f t="shared" si="0"/>
        <v/>
      </c>
      <c r="L25" s="59"/>
      <c r="M25" s="60" t="str">
        <f>IF(B25="","",IF(B25*2='Setup &amp; Summary'!$N$14,"midstation row!",""))</f>
        <v/>
      </c>
    </row>
    <row r="26" spans="1:14" x14ac:dyDescent="0.2">
      <c r="A26" s="69">
        <f t="shared" si="4"/>
        <v>17</v>
      </c>
      <c r="B26" s="57" t="str">
        <f>IF('Setup &amp; Summary'!$N$14&gt;A26,B25+1,"")</f>
        <v/>
      </c>
      <c r="C26" s="71"/>
      <c r="D26" s="72"/>
      <c r="E26" s="72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68" t="str">
        <f>IF(B26="","",IF(B26='Setup &amp; Summary'!$N$14,J26-H26,I27-$N$5))</f>
        <v/>
      </c>
      <c r="J26" s="22" t="str">
        <f>IF(B26="","",IF(B26='Setup &amp; Summary'!$N$14,INDEX(B!J:J,MATCH(MAX(B!B:B),B!B:B)),I26+H26))</f>
        <v/>
      </c>
      <c r="K26" s="23" t="str">
        <f>IF(B26="","",J26*$N$7)</f>
        <v/>
      </c>
      <c r="L26" s="59"/>
      <c r="M26" s="60" t="str">
        <f>IF(B26="","",IF(B26*2='Setup &amp; Summary'!$N$14,"midstation row!",""))</f>
        <v/>
      </c>
    </row>
    <row r="27" spans="1:14" x14ac:dyDescent="0.2">
      <c r="A27" s="69">
        <f t="shared" si="4"/>
        <v>18</v>
      </c>
      <c r="B27" s="57" t="str">
        <f>IF('Setup &amp; Summary'!$N$14&gt;A27,B26+1,"")</f>
        <v/>
      </c>
      <c r="C27" s="71"/>
      <c r="D27" s="72"/>
      <c r="E27" s="72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68" t="str">
        <f>IF(B27="","",IF(B27='Setup &amp; Summary'!$N$14,J27-H27,I28-$N$5))</f>
        <v/>
      </c>
      <c r="J27" s="22" t="str">
        <f>IF(B27="","",IF(B27='Setup &amp; Summary'!$N$14,INDEX(B!J:J,MATCH(MAX(B!B:B),B!B:B)),I27+H27))</f>
        <v/>
      </c>
      <c r="K27" s="23" t="str">
        <f t="shared" si="0"/>
        <v/>
      </c>
      <c r="M27" s="60" t="str">
        <f>IF(B27="","",IF(B27*2='Setup &amp; Summary'!$N$14,"midstation row!",""))</f>
        <v/>
      </c>
    </row>
    <row r="28" spans="1:14" x14ac:dyDescent="0.2">
      <c r="A28" s="69">
        <f t="shared" si="4"/>
        <v>19</v>
      </c>
      <c r="B28" s="57" t="str">
        <f>IF('Setup &amp; Summary'!$N$14&gt;A28,B27+1,"")</f>
        <v/>
      </c>
      <c r="C28" s="71"/>
      <c r="D28" s="72"/>
      <c r="E28" s="72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68" t="str">
        <f>IF(B28="","",IF(B28='Setup &amp; Summary'!$N$14,J28-H28,I29-$N$5))</f>
        <v/>
      </c>
      <c r="J28" s="22" t="str">
        <f>IF(B28="","",IF(B28='Setup &amp; Summary'!$N$14,INDEX(B!J:J,MATCH(MAX(B!B:B),B!B:B)),I28+H28))</f>
        <v/>
      </c>
      <c r="K28" s="23" t="str">
        <f t="shared" si="0"/>
        <v/>
      </c>
      <c r="M28" s="60" t="str">
        <f>IF(B28="","",IF(B28*2='Setup &amp; Summary'!$N$14,"midstation row!",""))</f>
        <v/>
      </c>
    </row>
    <row r="29" spans="1:14" x14ac:dyDescent="0.2">
      <c r="A29" s="69">
        <f t="shared" si="4"/>
        <v>20</v>
      </c>
      <c r="B29" s="57" t="str">
        <f>IF('Setup &amp; Summary'!$N$14&gt;A29,B28+1,"")</f>
        <v/>
      </c>
      <c r="C29" s="71"/>
      <c r="D29" s="72"/>
      <c r="E29" s="72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68" t="str">
        <f>IF(B29="","",IF(B29='Setup &amp; Summary'!$N$14,J29-H29,I30-$N$5))</f>
        <v/>
      </c>
      <c r="J29" s="22" t="str">
        <f>IF(B29="","",IF(B29='Setup &amp; Summary'!$N$14,INDEX(B!J:J,MATCH(MAX(B!B:B),B!B:B)),I29+H29))</f>
        <v/>
      </c>
      <c r="K29" s="23" t="str">
        <f t="shared" si="0"/>
        <v/>
      </c>
      <c r="M29" s="60" t="str">
        <f>IF(B29="","",IF(B29*2='Setup &amp; Summary'!$N$14,"midstation row!",""))</f>
        <v/>
      </c>
    </row>
    <row r="30" spans="1:14" x14ac:dyDescent="0.2">
      <c r="A30" s="69">
        <f t="shared" si="4"/>
        <v>21</v>
      </c>
      <c r="B30" s="57" t="str">
        <f>IF('Setup &amp; Summary'!$N$14&gt;A30,B29+1,"")</f>
        <v/>
      </c>
      <c r="C30" s="71"/>
      <c r="D30" s="72"/>
      <c r="E30" s="72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68" t="str">
        <f>IF(B30="","",IF(B30='Setup &amp; Summary'!$N$14,J30-H30,I31-$N$5))</f>
        <v/>
      </c>
      <c r="J30" s="22" t="str">
        <f>IF(B30="","",IF(B30='Setup &amp; Summary'!$N$14,INDEX(B!J:J,MATCH(MAX(B!B:B),B!B:B)),I30+H30))</f>
        <v/>
      </c>
      <c r="K30" s="23" t="str">
        <f t="shared" si="0"/>
        <v/>
      </c>
      <c r="M30" s="60" t="str">
        <f>IF(B30="","",IF(B30*2='Setup &amp; Summary'!$N$14,"midstation row!",""))</f>
        <v/>
      </c>
    </row>
    <row r="31" spans="1:14" x14ac:dyDescent="0.2">
      <c r="A31" s="69">
        <f t="shared" si="4"/>
        <v>22</v>
      </c>
      <c r="B31" s="57" t="str">
        <f>IF('Setup &amp; Summary'!$N$14&gt;A31,B30+1,"")</f>
        <v/>
      </c>
      <c r="C31" s="71"/>
      <c r="D31" s="72"/>
      <c r="E31" s="72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68" t="str">
        <f>IF(B31="","",IF(B31='Setup &amp; Summary'!$N$14,J31-H31,I32-$N$5))</f>
        <v/>
      </c>
      <c r="J31" s="22" t="str">
        <f>IF(B31="","",IF(B31='Setup &amp; Summary'!$N$14,INDEX(B!J:J,MATCH(MAX(B!B:B),B!B:B)),I31+H31))</f>
        <v/>
      </c>
      <c r="K31" s="23" t="str">
        <f t="shared" si="0"/>
        <v/>
      </c>
      <c r="M31" s="60" t="str">
        <f>IF(B31="","",IF(B31*2='Setup &amp; Summary'!$N$14,"midstation row!",""))</f>
        <v/>
      </c>
    </row>
    <row r="32" spans="1:14" x14ac:dyDescent="0.2">
      <c r="A32" s="69">
        <f t="shared" si="4"/>
        <v>23</v>
      </c>
      <c r="B32" s="57" t="str">
        <f>IF('Setup &amp; Summary'!$N$14&gt;A32,B31+1,"")</f>
        <v/>
      </c>
      <c r="C32" s="71"/>
      <c r="D32" s="72"/>
      <c r="E32" s="72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68" t="str">
        <f>IF(B32="","",IF(B32='Setup &amp; Summary'!$N$14,J32-H32,I33-$N$5))</f>
        <v/>
      </c>
      <c r="J32" s="22" t="str">
        <f>IF(B32="","",IF(B32='Setup &amp; Summary'!$N$14,INDEX(B!J:J,MATCH(MAX(B!B:B),B!B:B)),I32+H32))</f>
        <v/>
      </c>
      <c r="K32" s="23" t="str">
        <f t="shared" si="0"/>
        <v/>
      </c>
      <c r="M32" s="60" t="str">
        <f>IF(B32="","",IF(B32*2='Setup &amp; Summary'!$N$14,"midstation row!",""))</f>
        <v/>
      </c>
    </row>
    <row r="33" spans="1:13" x14ac:dyDescent="0.2">
      <c r="A33" s="69">
        <f t="shared" si="4"/>
        <v>24</v>
      </c>
      <c r="B33" s="57" t="str">
        <f>IF('Setup &amp; Summary'!$N$14&gt;A33,B32+1,"")</f>
        <v/>
      </c>
      <c r="C33" s="71"/>
      <c r="D33" s="72"/>
      <c r="E33" s="72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68" t="str">
        <f>IF(B33="","",IF(B33='Setup &amp; Summary'!$N$14,J33-H33,I34-$N$5))</f>
        <v/>
      </c>
      <c r="J33" s="22" t="str">
        <f>IF(B33="","",IF(B33='Setup &amp; Summary'!$N$14,INDEX(B!J:J,MATCH(MAX(B!B:B),B!B:B)),I33+H33))</f>
        <v/>
      </c>
      <c r="K33" s="23" t="str">
        <f t="shared" si="0"/>
        <v/>
      </c>
      <c r="M33" s="60" t="str">
        <f>IF(B33="","",IF(B33*2='Setup &amp; Summary'!$N$14,"midstation row!",""))</f>
        <v/>
      </c>
    </row>
    <row r="34" spans="1:13" x14ac:dyDescent="0.2">
      <c r="A34" s="69">
        <f t="shared" si="4"/>
        <v>25</v>
      </c>
      <c r="B34" s="57" t="str">
        <f>IF('Setup &amp; Summary'!$N$14&gt;A34,B33+1,"")</f>
        <v/>
      </c>
      <c r="C34" s="71"/>
      <c r="D34" s="72"/>
      <c r="E34" s="72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68" t="str">
        <f>IF(B34="","",IF(B34='Setup &amp; Summary'!$N$14,J34-H34,I35-$N$5))</f>
        <v/>
      </c>
      <c r="J34" s="22" t="str">
        <f>IF(B34="","",IF(B34='Setup &amp; Summary'!$N$14,INDEX(B!J:J,MATCH(MAX(B!B:B),B!B:B)),I34+H34))</f>
        <v/>
      </c>
      <c r="K34" s="23" t="str">
        <f t="shared" si="0"/>
        <v/>
      </c>
      <c r="M34" s="60" t="str">
        <f>IF(B34="","",IF(B34*2='Setup &amp; Summary'!$N$14,"midstation row!",""))</f>
        <v/>
      </c>
    </row>
    <row r="35" spans="1:13" x14ac:dyDescent="0.2">
      <c r="A35" s="69">
        <f t="shared" si="4"/>
        <v>26</v>
      </c>
      <c r="B35" s="57" t="str">
        <f>IF('Setup &amp; Summary'!$N$14&gt;A35,B34+1,"")</f>
        <v/>
      </c>
      <c r="C35" s="71"/>
      <c r="D35" s="72"/>
      <c r="E35" s="72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68" t="str">
        <f>IF(B35="","",IF(B35='Setup &amp; Summary'!$N$14,J35-H35,I36-$N$5))</f>
        <v/>
      </c>
      <c r="J35" s="22" t="str">
        <f>IF(B35="","",IF(B35='Setup &amp; Summary'!$N$14,INDEX(B!J:J,MATCH(MAX(B!B:B),B!B:B)),I35+H35))</f>
        <v/>
      </c>
      <c r="K35" s="23" t="str">
        <f t="shared" si="0"/>
        <v/>
      </c>
      <c r="M35" s="60" t="str">
        <f>IF(B35="","",IF(B35*2='Setup &amp; Summary'!$N$14,"midstation row!",""))</f>
        <v/>
      </c>
    </row>
    <row r="36" spans="1:13" x14ac:dyDescent="0.2">
      <c r="A36" s="69">
        <f t="shared" si="4"/>
        <v>27</v>
      </c>
      <c r="B36" s="57" t="str">
        <f>IF('Setup &amp; Summary'!$N$14&gt;A36,B35+1,"")</f>
        <v/>
      </c>
      <c r="C36" s="71"/>
      <c r="D36" s="72"/>
      <c r="E36" s="72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68" t="str">
        <f>IF(B36="","",IF(B36='Setup &amp; Summary'!$N$14,J36-H36,I37-$N$5))</f>
        <v/>
      </c>
      <c r="J36" s="22" t="str">
        <f>IF(B36="","",IF(B36='Setup &amp; Summary'!$N$14,INDEX(B!J:J,MATCH(MAX(B!B:B),B!B:B)),I36+H36))</f>
        <v/>
      </c>
      <c r="K36" s="23" t="str">
        <f t="shared" si="0"/>
        <v/>
      </c>
      <c r="M36" s="60" t="str">
        <f>IF(B36="","",IF(B36*2='Setup &amp; Summary'!$N$14,"midstation row!",""))</f>
        <v/>
      </c>
    </row>
    <row r="37" spans="1:13" x14ac:dyDescent="0.2">
      <c r="A37" s="69">
        <f t="shared" si="4"/>
        <v>28</v>
      </c>
      <c r="B37" s="57" t="str">
        <f>IF('Setup &amp; Summary'!$N$14&gt;A37,B36+1,"")</f>
        <v/>
      </c>
      <c r="C37" s="71"/>
      <c r="D37" s="72"/>
      <c r="E37" s="72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68" t="str">
        <f>IF(B37="","",IF(B37='Setup &amp; Summary'!$N$14,J37-H37,I38-$N$5))</f>
        <v/>
      </c>
      <c r="J37" s="22" t="str">
        <f>IF(B37="","",IF(B37='Setup &amp; Summary'!$N$14,INDEX(B!J:J,MATCH(MAX(B!B:B),B!B:B)),I37+H37))</f>
        <v/>
      </c>
      <c r="K37" s="23" t="str">
        <f t="shared" si="0"/>
        <v/>
      </c>
      <c r="M37" s="60" t="str">
        <f>IF(B37="","",IF(B37*2='Setup &amp; Summary'!$N$14,"midstation row!",""))</f>
        <v/>
      </c>
    </row>
    <row r="38" spans="1:13" x14ac:dyDescent="0.2">
      <c r="A38" s="69">
        <f t="shared" si="4"/>
        <v>29</v>
      </c>
      <c r="B38" s="57" t="str">
        <f>IF('Setup &amp; Summary'!$N$14&gt;A38,B37+1,"")</f>
        <v/>
      </c>
      <c r="C38" s="71"/>
      <c r="D38" s="72"/>
      <c r="E38" s="72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68" t="str">
        <f>IF(B38="","",IF(B38='Setup &amp; Summary'!$N$14,J38-H38,I39-$N$5))</f>
        <v/>
      </c>
      <c r="J38" s="22" t="str">
        <f>IF(B38="","",IF(B38='Setup &amp; Summary'!$N$14,INDEX(B!J:J,MATCH(MAX(B!B:B),B!B:B)),I38+H38))</f>
        <v/>
      </c>
      <c r="K38" s="23" t="str">
        <f t="shared" si="0"/>
        <v/>
      </c>
      <c r="M38" s="60" t="str">
        <f>IF(B38="","",IF(B38*2='Setup &amp; Summary'!$N$14,"midstation row!",""))</f>
        <v/>
      </c>
    </row>
    <row r="39" spans="1:13" x14ac:dyDescent="0.2">
      <c r="A39" s="69">
        <f t="shared" si="4"/>
        <v>30</v>
      </c>
      <c r="B39" s="57" t="str">
        <f>IF('Setup &amp; Summary'!$N$14&gt;A39,B38+1,"")</f>
        <v/>
      </c>
      <c r="C39" s="71"/>
      <c r="D39" s="72"/>
      <c r="E39" s="72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68" t="str">
        <f>IF(B39="","",IF(B39='Setup &amp; Summary'!$N$14,J39-H39,I40-$N$5))</f>
        <v/>
      </c>
      <c r="J39" s="22" t="str">
        <f>IF(B39="","",IF(B39='Setup &amp; Summary'!$N$14,INDEX(B!J:J,MATCH(MAX(B!B:B),B!B:B)),I39+H39))</f>
        <v/>
      </c>
      <c r="K39" s="23" t="str">
        <f t="shared" si="0"/>
        <v/>
      </c>
      <c r="M39" s="60" t="str">
        <f>IF(B39="","",IF(B39*2='Setup &amp; Summary'!$N$14,"midstation row!",""))</f>
        <v/>
      </c>
    </row>
    <row r="40" spans="1:13" x14ac:dyDescent="0.2">
      <c r="A40" s="69">
        <f t="shared" si="4"/>
        <v>31</v>
      </c>
      <c r="B40" s="57" t="str">
        <f>IF('Setup &amp; Summary'!$N$14&gt;A40,B39+1,"")</f>
        <v/>
      </c>
      <c r="C40" s="71"/>
      <c r="D40" s="72"/>
      <c r="E40" s="72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68" t="str">
        <f>IF(B40="","",IF(B40='Setup &amp; Summary'!$N$14,J40-H40,I41-$N$5))</f>
        <v/>
      </c>
      <c r="J40" s="22" t="str">
        <f>IF(B40="","",IF(B40='Setup &amp; Summary'!$N$14,INDEX(B!J:J,MATCH(MAX(B!B:B),B!B:B)),I40+H40))</f>
        <v/>
      </c>
      <c r="K40" s="23" t="str">
        <f t="shared" si="0"/>
        <v/>
      </c>
      <c r="M40" s="60" t="str">
        <f>IF(B40="","",IF(B40*2='Setup &amp; Summary'!$N$14,"midstation row!",""))</f>
        <v/>
      </c>
    </row>
    <row r="41" spans="1:13" x14ac:dyDescent="0.2">
      <c r="A41" s="69">
        <f t="shared" si="4"/>
        <v>32</v>
      </c>
      <c r="B41" s="57" t="str">
        <f>IF('Setup &amp; Summary'!$N$14&gt;A41,B40+1,"")</f>
        <v/>
      </c>
      <c r="C41" s="71"/>
      <c r="D41" s="72"/>
      <c r="E41" s="72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68" t="str">
        <f>IF(B41="","",IF(B41='Setup &amp; Summary'!$N$14,J41-H41,I42-$N$5))</f>
        <v/>
      </c>
      <c r="J41" s="22" t="str">
        <f>IF(B41="","",IF(B41='Setup &amp; Summary'!$N$14,INDEX(B!J:J,MATCH(MAX(B!B:B),B!B:B)),I41+H41))</f>
        <v/>
      </c>
      <c r="K41" s="23" t="str">
        <f t="shared" si="0"/>
        <v/>
      </c>
      <c r="M41" s="60" t="str">
        <f>IF(B41="","",IF(B41*2='Setup &amp; Summary'!$N$14,"midstation row!",""))</f>
        <v/>
      </c>
    </row>
    <row r="42" spans="1:13" x14ac:dyDescent="0.2">
      <c r="A42" s="69">
        <f t="shared" si="4"/>
        <v>33</v>
      </c>
      <c r="B42" s="57" t="str">
        <f>IF('Setup &amp; Summary'!$N$14&gt;A42,B41+1,"")</f>
        <v/>
      </c>
      <c r="C42" s="71"/>
      <c r="D42" s="72"/>
      <c r="E42" s="72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68" t="str">
        <f>IF(B42="","",IF(B42='Setup &amp; Summary'!$N$14,J42-H42,I43-$N$5))</f>
        <v/>
      </c>
      <c r="J42" s="22" t="str">
        <f>IF(B42="","",IF(B42='Setup &amp; Summary'!$N$14,INDEX(B!J:J,MATCH(MAX(B!B:B),B!B:B)),I42+H42))</f>
        <v/>
      </c>
      <c r="K42" s="23" t="str">
        <f t="shared" si="0"/>
        <v/>
      </c>
      <c r="M42" s="60" t="str">
        <f>IF(B42="","",IF(B42*2='Setup &amp; Summary'!$N$14,"midstation row!",""))</f>
        <v/>
      </c>
    </row>
    <row r="43" spans="1:13" x14ac:dyDescent="0.2">
      <c r="A43" s="69">
        <f t="shared" si="4"/>
        <v>34</v>
      </c>
      <c r="B43" s="57" t="str">
        <f>IF('Setup &amp; Summary'!$N$14&gt;A43,B42+1,"")</f>
        <v/>
      </c>
      <c r="C43" s="71"/>
      <c r="D43" s="72"/>
      <c r="E43" s="72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68" t="str">
        <f>IF(B43="","",IF(B43='Setup &amp; Summary'!$N$14,J43-H43,I44-$N$5))</f>
        <v/>
      </c>
      <c r="J43" s="22" t="str">
        <f>IF(B43="","",IF(B43='Setup &amp; Summary'!$N$14,INDEX(B!J:J,MATCH(MAX(B!B:B),B!B:B)),I43+H43))</f>
        <v/>
      </c>
      <c r="K43" s="23" t="str">
        <f t="shared" si="0"/>
        <v/>
      </c>
      <c r="M43" s="60" t="str">
        <f>IF(B43="","",IF(B43*2='Setup &amp; Summary'!$N$14,"midstation row!",""))</f>
        <v/>
      </c>
    </row>
    <row r="44" spans="1:13" x14ac:dyDescent="0.2">
      <c r="A44" s="69">
        <f t="shared" si="4"/>
        <v>35</v>
      </c>
      <c r="B44" s="57" t="str">
        <f>IF('Setup &amp; Summary'!$N$14&gt;A44,B43+1,"")</f>
        <v/>
      </c>
      <c r="C44" s="71"/>
      <c r="D44" s="72"/>
      <c r="E44" s="72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68" t="str">
        <f>IF(B44="","",IF(B44='Setup &amp; Summary'!$N$14,J44-H44,I45-$N$5))</f>
        <v/>
      </c>
      <c r="J44" s="22" t="str">
        <f>IF(B44="","",IF(B44='Setup &amp; Summary'!$N$14,INDEX(B!J:J,MATCH(MAX(B!B:B),B!B:B)),I44+H44))</f>
        <v/>
      </c>
      <c r="K44" s="23" t="str">
        <f t="shared" si="0"/>
        <v/>
      </c>
      <c r="M44" s="60" t="str">
        <f>IF(B44="","",IF(B44*2='Setup &amp; Summary'!$N$14,"midstation row!",""))</f>
        <v/>
      </c>
    </row>
    <row r="45" spans="1:13" x14ac:dyDescent="0.2">
      <c r="A45" s="69">
        <f t="shared" si="4"/>
        <v>36</v>
      </c>
      <c r="B45" s="57" t="str">
        <f>IF('Setup &amp; Summary'!$N$14&gt;A45,B44+1,"")</f>
        <v/>
      </c>
      <c r="C45" s="71"/>
      <c r="D45" s="72"/>
      <c r="E45" s="72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68" t="str">
        <f>IF(B45="","",IF(B45='Setup &amp; Summary'!$N$14,J45-H45,I46-$N$5))</f>
        <v/>
      </c>
      <c r="J45" s="22" t="str">
        <f>IF(B45="","",IF(B45='Setup &amp; Summary'!$N$14,INDEX(B!J:J,MATCH(MAX(B!B:B),B!B:B)),I45+H45))</f>
        <v/>
      </c>
      <c r="K45" s="23" t="str">
        <f t="shared" si="0"/>
        <v/>
      </c>
      <c r="M45" s="60" t="str">
        <f>IF(B45="","",IF(B45*2='Setup &amp; Summary'!$N$14,"midstation row!",""))</f>
        <v/>
      </c>
    </row>
    <row r="46" spans="1:13" x14ac:dyDescent="0.2">
      <c r="A46" s="69">
        <f t="shared" si="4"/>
        <v>37</v>
      </c>
      <c r="B46" s="57" t="str">
        <f>IF('Setup &amp; Summary'!$N$14&gt;A46,B45+1,"")</f>
        <v/>
      </c>
      <c r="C46" s="71"/>
      <c r="D46" s="72"/>
      <c r="E46" s="72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68" t="str">
        <f>IF(B46="","",IF(B46='Setup &amp; Summary'!$N$14,J46-H46,I47-$N$5))</f>
        <v/>
      </c>
      <c r="J46" s="22" t="str">
        <f>IF(B46="","",IF(B46='Setup &amp; Summary'!$N$14,INDEX(B!J:J,MATCH(MAX(B!B:B),B!B:B)),I46+H46))</f>
        <v/>
      </c>
      <c r="K46" s="23" t="str">
        <f t="shared" si="0"/>
        <v/>
      </c>
      <c r="M46" s="60" t="str">
        <f>IF(B46="","",IF(B46*2='Setup &amp; Summary'!$N$14,"midstation row!",""))</f>
        <v/>
      </c>
    </row>
    <row r="47" spans="1:13" x14ac:dyDescent="0.2">
      <c r="A47" s="69">
        <f t="shared" si="4"/>
        <v>38</v>
      </c>
      <c r="B47" s="57" t="str">
        <f>IF('Setup &amp; Summary'!$N$14&gt;A47,B46+1,"")</f>
        <v/>
      </c>
      <c r="C47" s="71"/>
      <c r="D47" s="72"/>
      <c r="E47" s="72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68" t="str">
        <f>IF(B47="","",IF(B47='Setup &amp; Summary'!$N$14,J47-H47,I48-$N$5))</f>
        <v/>
      </c>
      <c r="J47" s="22" t="str">
        <f>IF(B47="","",IF(B47='Setup &amp; Summary'!$N$14,INDEX(B!J:J,MATCH(MAX(B!B:B),B!B:B)),I47+H47))</f>
        <v/>
      </c>
      <c r="K47" s="23" t="str">
        <f t="shared" si="0"/>
        <v/>
      </c>
      <c r="M47" s="60" t="str">
        <f>IF(B47="","",IF(B47*2='Setup &amp; Summary'!$N$14,"midstation row!",""))</f>
        <v/>
      </c>
    </row>
    <row r="48" spans="1:13" x14ac:dyDescent="0.2">
      <c r="A48" s="69">
        <f t="shared" si="4"/>
        <v>39</v>
      </c>
      <c r="B48" s="57" t="str">
        <f>IF('Setup &amp; Summary'!$N$14&gt;A48,B47+1,"")</f>
        <v/>
      </c>
      <c r="C48" s="71"/>
      <c r="D48" s="72"/>
      <c r="E48" s="72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68" t="str">
        <f>IF(B48="","",IF(B48='Setup &amp; Summary'!$N$14,J48-H48,I49-$N$5))</f>
        <v/>
      </c>
      <c r="J48" s="22" t="str">
        <f>IF(B48="","",IF(B48='Setup &amp; Summary'!$N$14,INDEX(B!J:J,MATCH(MAX(B!B:B),B!B:B)),I48+H48))</f>
        <v/>
      </c>
      <c r="K48" s="23" t="str">
        <f t="shared" si="0"/>
        <v/>
      </c>
      <c r="M48" s="60" t="str">
        <f>IF(B48="","",IF(B48*2='Setup &amp; Summary'!$N$14,"midstation row!",""))</f>
        <v/>
      </c>
    </row>
    <row r="49" spans="1:13" x14ac:dyDescent="0.2">
      <c r="A49" s="69">
        <f t="shared" si="4"/>
        <v>40</v>
      </c>
      <c r="B49" s="57" t="str">
        <f>IF('Setup &amp; Summary'!$N$14&gt;A49,B48+1,"")</f>
        <v/>
      </c>
      <c r="C49" s="71"/>
      <c r="D49" s="72"/>
      <c r="E49" s="72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68" t="str">
        <f>IF(B49="","",IF(B49='Setup &amp; Summary'!$N$14,J49-H49,I50-$N$5))</f>
        <v/>
      </c>
      <c r="J49" s="22" t="str">
        <f>IF(B49="","",IF(B49='Setup &amp; Summary'!$N$14,INDEX(B!J:J,MATCH(MAX(B!B:B),B!B:B)),I49+H49))</f>
        <v/>
      </c>
      <c r="K49" s="23" t="str">
        <f t="shared" si="0"/>
        <v/>
      </c>
      <c r="M49" s="60" t="str">
        <f>IF(B49="","",IF(B49*2='Setup &amp; Summary'!$N$14,"midstation row!",""))</f>
        <v/>
      </c>
    </row>
    <row r="50" spans="1:13" x14ac:dyDescent="0.2">
      <c r="A50" s="69">
        <f t="shared" si="4"/>
        <v>41</v>
      </c>
      <c r="B50" s="57" t="str">
        <f>IF('Setup &amp; Summary'!$N$14&gt;A50,B49+1,"")</f>
        <v/>
      </c>
      <c r="C50" s="71"/>
      <c r="D50" s="72"/>
      <c r="E50" s="72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68" t="str">
        <f>IF(B50="","",IF(B50='Setup &amp; Summary'!$N$14,J50-H50,I51-$N$5))</f>
        <v/>
      </c>
      <c r="J50" s="22" t="str">
        <f>IF(B50="","",IF(B50='Setup &amp; Summary'!$N$14,INDEX(B!J:J,MATCH(MAX(B!B:B),B!B:B)),I50+H50))</f>
        <v/>
      </c>
      <c r="K50" s="23" t="str">
        <f t="shared" si="0"/>
        <v/>
      </c>
      <c r="M50" s="60" t="str">
        <f>IF(B50="","",IF(B50*2='Setup &amp; Summary'!$N$14,"midstation row!",""))</f>
        <v/>
      </c>
    </row>
    <row r="51" spans="1:13" x14ac:dyDescent="0.2">
      <c r="A51" s="69">
        <f t="shared" si="4"/>
        <v>42</v>
      </c>
      <c r="B51" s="57" t="str">
        <f>IF('Setup &amp; Summary'!$N$14&gt;A51,B50+1,"")</f>
        <v/>
      </c>
      <c r="C51" s="71"/>
      <c r="D51" s="72"/>
      <c r="E51" s="72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68" t="str">
        <f>IF(B51="","",IF(B51='Setup &amp; Summary'!$N$14,J51-H51,I52-$N$5))</f>
        <v/>
      </c>
      <c r="J51" s="22" t="str">
        <f>IF(B51="","",IF(B51='Setup &amp; Summary'!$N$14,INDEX(B!J:J,MATCH(MAX(B!B:B),B!B:B)),I51+H51))</f>
        <v/>
      </c>
      <c r="K51" s="23" t="str">
        <f t="shared" si="0"/>
        <v/>
      </c>
      <c r="M51" s="60" t="str">
        <f>IF(B51="","",IF(B51*2='Setup &amp; Summary'!$N$14,"midstation row!",""))</f>
        <v/>
      </c>
    </row>
    <row r="52" spans="1:13" x14ac:dyDescent="0.2">
      <c r="A52" s="69">
        <f t="shared" si="4"/>
        <v>43</v>
      </c>
      <c r="B52" s="57" t="str">
        <f>IF('Setup &amp; Summary'!$N$14&gt;A52,B51+1,"")</f>
        <v/>
      </c>
      <c r="C52" s="71"/>
      <c r="D52" s="72"/>
      <c r="E52" s="72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68" t="str">
        <f>IF(B52="","",IF(B52='Setup &amp; Summary'!$N$14,J52-H52,I53-$N$5))</f>
        <v/>
      </c>
      <c r="J52" s="22" t="str">
        <f>IF(B52="","",IF(B52='Setup &amp; Summary'!$N$14,INDEX(B!J:J,MATCH(MAX(B!B:B),B!B:B)),I52+H52))</f>
        <v/>
      </c>
      <c r="K52" s="23" t="str">
        <f t="shared" si="0"/>
        <v/>
      </c>
      <c r="M52" s="60" t="str">
        <f>IF(B52="","",IF(B52*2='Setup &amp; Summary'!$N$14,"midstation row!",""))</f>
        <v/>
      </c>
    </row>
    <row r="53" spans="1:13" x14ac:dyDescent="0.2">
      <c r="A53" s="69">
        <f t="shared" si="4"/>
        <v>44</v>
      </c>
      <c r="B53" s="57" t="str">
        <f>IF('Setup &amp; Summary'!$N$14&gt;A53,B52+1,"")</f>
        <v/>
      </c>
      <c r="C53" s="71"/>
      <c r="D53" s="72"/>
      <c r="E53" s="72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68" t="str">
        <f>IF(B53="","",IF(B53='Setup &amp; Summary'!$N$14,J53-H53,I54-$N$5))</f>
        <v/>
      </c>
      <c r="J53" s="22" t="str">
        <f>IF(B53="","",IF(B53='Setup &amp; Summary'!$N$14,INDEX(B!J:J,MATCH(MAX(B!B:B),B!B:B)),I53+H53))</f>
        <v/>
      </c>
      <c r="K53" s="23" t="str">
        <f t="shared" si="0"/>
        <v/>
      </c>
      <c r="M53" s="60" t="str">
        <f>IF(B53="","",IF(B53*2='Setup &amp; Summary'!$N$14,"midstation row!",""))</f>
        <v/>
      </c>
    </row>
    <row r="54" spans="1:13" x14ac:dyDescent="0.2">
      <c r="A54" s="69">
        <f t="shared" si="4"/>
        <v>45</v>
      </c>
      <c r="B54" s="57" t="str">
        <f>IF('Setup &amp; Summary'!$N$14&gt;A54,B53+1,"")</f>
        <v/>
      </c>
      <c r="C54" s="71"/>
      <c r="D54" s="72"/>
      <c r="E54" s="72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68" t="str">
        <f>IF(B54="","",IF(B54='Setup &amp; Summary'!$N$14,J54-H54,I55-$N$5))</f>
        <v/>
      </c>
      <c r="J54" s="22" t="str">
        <f>IF(B54="","",IF(B54='Setup &amp; Summary'!$N$14,INDEX(B!J:J,MATCH(MAX(B!B:B),B!B:B)),I54+H54))</f>
        <v/>
      </c>
      <c r="K54" s="23" t="str">
        <f t="shared" si="0"/>
        <v/>
      </c>
      <c r="M54" s="60" t="str">
        <f>IF(B54="","",IF(B54*2='Setup &amp; Summary'!$N$14,"midstation row!",""))</f>
        <v/>
      </c>
    </row>
    <row r="55" spans="1:13" x14ac:dyDescent="0.2">
      <c r="A55" s="69">
        <f t="shared" si="4"/>
        <v>46</v>
      </c>
      <c r="B55" s="57" t="str">
        <f>IF('Setup &amp; Summary'!$N$14&gt;A55,B54+1,"")</f>
        <v/>
      </c>
      <c r="C55" s="71"/>
      <c r="D55" s="72"/>
      <c r="E55" s="72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68" t="str">
        <f>IF(B55="","",IF(B55='Setup &amp; Summary'!$N$14,J55-H55,I56-$N$5))</f>
        <v/>
      </c>
      <c r="J55" s="22" t="str">
        <f>IF(B55="","",IF(B55='Setup &amp; Summary'!$N$14,INDEX(B!J:J,MATCH(MAX(B!B:B),B!B:B)),I55+H55))</f>
        <v/>
      </c>
      <c r="K55" s="23" t="str">
        <f t="shared" si="0"/>
        <v/>
      </c>
      <c r="M55" s="60" t="str">
        <f>IF(B55="","",IF(B55*2='Setup &amp; Summary'!$N$14,"midstation row!",""))</f>
        <v/>
      </c>
    </row>
    <row r="56" spans="1:13" x14ac:dyDescent="0.2">
      <c r="A56" s="69">
        <f t="shared" si="4"/>
        <v>47</v>
      </c>
      <c r="B56" s="57" t="str">
        <f>IF('Setup &amp; Summary'!$N$14&gt;A56,B55+1,"")</f>
        <v/>
      </c>
      <c r="C56" s="71"/>
      <c r="D56" s="72"/>
      <c r="E56" s="72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68" t="str">
        <f>IF(B56="","",IF(B56='Setup &amp; Summary'!$N$14,J56-H56,I57-$N$5))</f>
        <v/>
      </c>
      <c r="J56" s="22" t="str">
        <f>IF(B56="","",IF(B56='Setup &amp; Summary'!$N$14,INDEX(B!J:J,MATCH(MAX(B!B:B),B!B:B)),I56+H56))</f>
        <v/>
      </c>
      <c r="K56" s="23" t="str">
        <f t="shared" si="0"/>
        <v/>
      </c>
      <c r="M56" s="60" t="str">
        <f>IF(B56="","",IF(B56*2='Setup &amp; Summary'!$N$14,"midstation row!",""))</f>
        <v/>
      </c>
    </row>
    <row r="57" spans="1:13" x14ac:dyDescent="0.2">
      <c r="A57" s="69">
        <f t="shared" si="4"/>
        <v>48</v>
      </c>
      <c r="B57" s="57" t="str">
        <f>IF('Setup &amp; Summary'!$N$14&gt;A57,B56+1,"")</f>
        <v/>
      </c>
      <c r="C57" s="71"/>
      <c r="D57" s="72"/>
      <c r="E57" s="72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68" t="str">
        <f>IF(B57="","",IF(B57='Setup &amp; Summary'!$N$14,J57-H57,I58-$N$5))</f>
        <v/>
      </c>
      <c r="J57" s="22" t="str">
        <f>IF(B57="","",IF(B57='Setup &amp; Summary'!$N$14,INDEX(B!J:J,MATCH(MAX(B!B:B),B!B:B)),I57+H57))</f>
        <v/>
      </c>
      <c r="K57" s="23" t="str">
        <f t="shared" si="0"/>
        <v/>
      </c>
      <c r="M57" s="60" t="str">
        <f>IF(B57="","",IF(B57*2='Setup &amp; Summary'!$N$14,"midstation row!",""))</f>
        <v/>
      </c>
    </row>
    <row r="58" spans="1:13" x14ac:dyDescent="0.2">
      <c r="A58" s="69">
        <f t="shared" si="4"/>
        <v>49</v>
      </c>
      <c r="B58" s="57" t="str">
        <f>IF('Setup &amp; Summary'!$N$14&gt;A58,B57+1,"")</f>
        <v/>
      </c>
      <c r="C58" s="71"/>
      <c r="D58" s="72"/>
      <c r="E58" s="72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68" t="str">
        <f>IF(B58="","",IF(B58='Setup &amp; Summary'!$N$14,J58-H58,I59-$N$5))</f>
        <v/>
      </c>
      <c r="J58" s="22" t="str">
        <f>IF(B58="","",IF(B58='Setup &amp; Summary'!$N$14,INDEX(B!J:J,MATCH(MAX(B!B:B),B!B:B)),I58+H58))</f>
        <v/>
      </c>
      <c r="K58" s="23" t="str">
        <f t="shared" si="0"/>
        <v/>
      </c>
      <c r="M58" s="60" t="str">
        <f>IF(B58="","",IF(B58*2='Setup &amp; Summary'!$N$14,"midstation row!",""))</f>
        <v/>
      </c>
    </row>
    <row r="59" spans="1:13" x14ac:dyDescent="0.2">
      <c r="A59" s="69">
        <f t="shared" si="4"/>
        <v>50</v>
      </c>
      <c r="B59" s="57" t="str">
        <f>IF('Setup &amp; Summary'!$N$14&gt;A59,B58+1,"")</f>
        <v/>
      </c>
      <c r="C59" s="71"/>
      <c r="D59" s="72"/>
      <c r="E59" s="72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68" t="str">
        <f>IF(B59="","",IF(B59='Setup &amp; Summary'!$N$14,J59-H59,I60-$N$5))</f>
        <v/>
      </c>
      <c r="J59" s="22" t="str">
        <f>IF(B59="","",IF(B59='Setup &amp; Summary'!$N$14,INDEX(B!J:J,MATCH(MAX(B!B:B),B!B:B)),I59+H59))</f>
        <v/>
      </c>
      <c r="K59" s="23" t="str">
        <f t="shared" si="0"/>
        <v/>
      </c>
      <c r="M59" s="60" t="str">
        <f>IF(B59="","",IF(B59*2='Setup &amp; Summary'!$N$14,"midstation row!",""))</f>
        <v/>
      </c>
    </row>
    <row r="60" spans="1:13" x14ac:dyDescent="0.2">
      <c r="A60" s="69">
        <f t="shared" si="4"/>
        <v>51</v>
      </c>
      <c r="B60" s="57" t="str">
        <f>IF('Setup &amp; Summary'!$N$14&gt;A60,B59+1,"")</f>
        <v/>
      </c>
      <c r="C60" s="71"/>
      <c r="D60" s="72"/>
      <c r="E60" s="72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68" t="str">
        <f>IF(B60="","",IF(B60='Setup &amp; Summary'!$N$14,J60-H60,I61-$N$5))</f>
        <v/>
      </c>
      <c r="J60" s="22" t="str">
        <f>IF(B60="","",IF(B60='Setup &amp; Summary'!$N$14,INDEX(B!J:J,MATCH(MAX(B!B:B),B!B:B)),I60+H60))</f>
        <v/>
      </c>
      <c r="K60" s="23" t="str">
        <f t="shared" si="0"/>
        <v/>
      </c>
      <c r="M60" s="60" t="str">
        <f>IF(B60="","",IF(B60*2='Setup &amp; Summary'!$N$14,"midstation row!",""))</f>
        <v/>
      </c>
    </row>
    <row r="61" spans="1:13" x14ac:dyDescent="0.2">
      <c r="A61" s="69">
        <f t="shared" si="4"/>
        <v>52</v>
      </c>
      <c r="B61" s="57" t="str">
        <f>IF('Setup &amp; Summary'!$N$14&gt;A61,B60+1,"")</f>
        <v/>
      </c>
      <c r="C61" s="71"/>
      <c r="D61" s="72"/>
      <c r="E61" s="72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68" t="str">
        <f>IF(B61="","",IF(B61='Setup &amp; Summary'!$N$14,J61-H61,I62-$N$5))</f>
        <v/>
      </c>
      <c r="J61" s="22" t="str">
        <f>IF(B61="","",IF(B61='Setup &amp; Summary'!$N$14,INDEX(B!J:J,MATCH(MAX(B!B:B),B!B:B)),I61+H61))</f>
        <v/>
      </c>
      <c r="K61" s="23" t="str">
        <f t="shared" si="0"/>
        <v/>
      </c>
      <c r="M61" s="60" t="str">
        <f>IF(B61="","",IF(B61*2='Setup &amp; Summary'!$N$14,"midstation row!",""))</f>
        <v/>
      </c>
    </row>
    <row r="62" spans="1:13" x14ac:dyDescent="0.2">
      <c r="A62" s="69">
        <f t="shared" si="4"/>
        <v>53</v>
      </c>
      <c r="B62" s="57" t="str">
        <f>IF('Setup &amp; Summary'!$N$14&gt;A62,B61+1,"")</f>
        <v/>
      </c>
      <c r="C62" s="71"/>
      <c r="D62" s="72"/>
      <c r="E62" s="72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68" t="str">
        <f>IF(B62="","",IF(B62='Setup &amp; Summary'!$N$14,J62-H62,I63-$N$5))</f>
        <v/>
      </c>
      <c r="J62" s="22" t="str">
        <f>IF(B62="","",IF(B62='Setup &amp; Summary'!$N$14,INDEX(B!J:J,MATCH(MAX(B!B:B),B!B:B)),I62+H62))</f>
        <v/>
      </c>
      <c r="K62" s="23" t="str">
        <f t="shared" si="0"/>
        <v/>
      </c>
      <c r="M62" s="60" t="str">
        <f>IF(B62="","",IF(B62*2='Setup &amp; Summary'!$N$14,"midstation row!",""))</f>
        <v/>
      </c>
    </row>
    <row r="63" spans="1:13" x14ac:dyDescent="0.2">
      <c r="A63" s="69">
        <f t="shared" si="4"/>
        <v>54</v>
      </c>
      <c r="B63" s="57" t="str">
        <f>IF('Setup &amp; Summary'!$N$14&gt;A63,B62+1,"")</f>
        <v/>
      </c>
      <c r="C63" s="71"/>
      <c r="D63" s="72"/>
      <c r="E63" s="72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68" t="str">
        <f>IF(B63="","",IF(B63='Setup &amp; Summary'!$N$14,J63-H63,I64-$N$5))</f>
        <v/>
      </c>
      <c r="J63" s="22" t="str">
        <f>IF(B63="","",IF(B63='Setup &amp; Summary'!$N$14,INDEX(B!J:J,MATCH(MAX(B!B:B),B!B:B)),I63+H63))</f>
        <v/>
      </c>
      <c r="K63" s="23" t="str">
        <f t="shared" si="0"/>
        <v/>
      </c>
      <c r="M63" s="60" t="str">
        <f>IF(B63="","",IF(B63*2='Setup &amp; Summary'!$N$14,"midstation row!",""))</f>
        <v/>
      </c>
    </row>
    <row r="64" spans="1:13" x14ac:dyDescent="0.2">
      <c r="A64" s="69">
        <f t="shared" si="4"/>
        <v>55</v>
      </c>
      <c r="B64" s="57" t="str">
        <f>IF('Setup &amp; Summary'!$N$14&gt;A64,B63+1,"")</f>
        <v/>
      </c>
      <c r="C64" s="71"/>
      <c r="D64" s="72"/>
      <c r="E64" s="72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68" t="str">
        <f>IF(B64="","",IF(B64='Setup &amp; Summary'!$N$14,J64-H64,I65-$N$5))</f>
        <v/>
      </c>
      <c r="J64" s="22" t="str">
        <f>IF(B64="","",IF(B64='Setup &amp; Summary'!$N$14,INDEX(B!J:J,MATCH(MAX(B!B:B),B!B:B)),I64+H64))</f>
        <v/>
      </c>
      <c r="K64" s="23" t="str">
        <f t="shared" si="0"/>
        <v/>
      </c>
      <c r="M64" s="60" t="str">
        <f>IF(B64="","",IF(B64*2='Setup &amp; Summary'!$N$14,"midstation row!",""))</f>
        <v/>
      </c>
    </row>
    <row r="65" spans="1:13" x14ac:dyDescent="0.2">
      <c r="A65" s="69">
        <f t="shared" si="4"/>
        <v>56</v>
      </c>
      <c r="B65" s="57" t="str">
        <f>IF('Setup &amp; Summary'!$N$14&gt;A65,B64+1,"")</f>
        <v/>
      </c>
      <c r="C65" s="71"/>
      <c r="D65" s="72"/>
      <c r="E65" s="72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68" t="str">
        <f>IF(B65="","",IF(B65='Setup &amp; Summary'!$N$14,J65-H65,I66-$N$5))</f>
        <v/>
      </c>
      <c r="J65" s="22" t="str">
        <f>IF(B65="","",IF(B65='Setup &amp; Summary'!$N$14,INDEX(B!J:J,MATCH(MAX(B!B:B),B!B:B)),I65+H65))</f>
        <v/>
      </c>
      <c r="K65" s="23" t="str">
        <f t="shared" si="0"/>
        <v/>
      </c>
      <c r="M65" s="60" t="str">
        <f>IF(B65="","",IF(B65*2='Setup &amp; Summary'!$N$14,"midstation row!",""))</f>
        <v/>
      </c>
    </row>
    <row r="66" spans="1:13" x14ac:dyDescent="0.2">
      <c r="A66" s="69">
        <f t="shared" si="4"/>
        <v>57</v>
      </c>
      <c r="B66" s="57" t="str">
        <f>IF('Setup &amp; Summary'!$N$14&gt;A66,B65+1,"")</f>
        <v/>
      </c>
      <c r="C66" s="71"/>
      <c r="D66" s="72"/>
      <c r="E66" s="72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68" t="str">
        <f>IF(B66="","",IF(B66='Setup &amp; Summary'!$N$14,J66-H66,I67-$N$5))</f>
        <v/>
      </c>
      <c r="J66" s="22" t="str">
        <f>IF(B66="","",IF(B66='Setup &amp; Summary'!$N$14,INDEX(B!J:J,MATCH(MAX(B!B:B),B!B:B)),I66+H66))</f>
        <v/>
      </c>
      <c r="K66" s="23" t="str">
        <f t="shared" si="0"/>
        <v/>
      </c>
      <c r="M66" s="60" t="str">
        <f>IF(B66="","",IF(B66*2='Setup &amp; Summary'!$N$14,"midstation row!",""))</f>
        <v/>
      </c>
    </row>
    <row r="67" spans="1:13" x14ac:dyDescent="0.2">
      <c r="A67" s="69">
        <f t="shared" si="4"/>
        <v>58</v>
      </c>
      <c r="B67" s="57" t="str">
        <f>IF('Setup &amp; Summary'!$N$14&gt;A67,B66+1,"")</f>
        <v/>
      </c>
      <c r="C67" s="71"/>
      <c r="D67" s="72"/>
      <c r="E67" s="72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68" t="str">
        <f>IF(B67="","",IF(B67='Setup &amp; Summary'!$N$14,J67-H67,I68-$N$5))</f>
        <v/>
      </c>
      <c r="J67" s="22" t="str">
        <f>IF(B67="","",IF(B67='Setup &amp; Summary'!$N$14,INDEX(B!J:J,MATCH(MAX(B!B:B),B!B:B)),I67+H67))</f>
        <v/>
      </c>
      <c r="K67" s="23" t="str">
        <f t="shared" si="0"/>
        <v/>
      </c>
      <c r="M67" s="60" t="str">
        <f>IF(B67="","",IF(B67*2='Setup &amp; Summary'!$N$14,"midstation row!",""))</f>
        <v/>
      </c>
    </row>
    <row r="68" spans="1:13" x14ac:dyDescent="0.2">
      <c r="A68" s="69">
        <f t="shared" si="4"/>
        <v>59</v>
      </c>
      <c r="B68" s="57" t="str">
        <f>IF('Setup &amp; Summary'!$N$14&gt;A68,B67+1,"")</f>
        <v/>
      </c>
      <c r="C68" s="71"/>
      <c r="D68" s="72"/>
      <c r="E68" s="72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68" t="str">
        <f>IF(B68="","",IF(B68='Setup &amp; Summary'!$N$14,J68-H68,I69-$N$5))</f>
        <v/>
      </c>
      <c r="J68" s="22" t="str">
        <f>IF(B68="","",IF(B68='Setup &amp; Summary'!$N$14,INDEX(B!J:J,MATCH(MAX(B!B:B),B!B:B)),I68+H68))</f>
        <v/>
      </c>
      <c r="K68" s="23" t="str">
        <f t="shared" si="0"/>
        <v/>
      </c>
      <c r="M68" s="60" t="str">
        <f>IF(B68="","",IF(B68*2='Setup &amp; Summary'!$N$14,"midstation row!",""))</f>
        <v/>
      </c>
    </row>
    <row r="69" spans="1:13" x14ac:dyDescent="0.2">
      <c r="A69" s="69">
        <f t="shared" si="4"/>
        <v>60</v>
      </c>
      <c r="B69" s="57" t="str">
        <f>IF('Setup &amp; Summary'!$N$14&gt;A69,B68+1,"")</f>
        <v/>
      </c>
      <c r="C69" s="71"/>
      <c r="D69" s="72"/>
      <c r="E69" s="72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68" t="str">
        <f>IF(B69="","",IF(B69='Setup &amp; Summary'!$N$14,J69-H69,I70-$N$5))</f>
        <v/>
      </c>
      <c r="J69" s="22" t="str">
        <f>IF(B69="","",IF(B69='Setup &amp; Summary'!$N$14,INDEX(B!J:J,MATCH(MAX(B!B:B),B!B:B)),I69+H69))</f>
        <v/>
      </c>
      <c r="K69" s="23" t="str">
        <f t="shared" si="0"/>
        <v/>
      </c>
      <c r="M69" s="60" t="str">
        <f>IF(B69="","",IF(B69*2='Setup &amp; Summary'!$N$14,"midstation row!",""))</f>
        <v/>
      </c>
    </row>
    <row r="70" spans="1:13" x14ac:dyDescent="0.2">
      <c r="A70" s="69">
        <f t="shared" si="4"/>
        <v>61</v>
      </c>
      <c r="B70" s="57" t="str">
        <f>IF('Setup &amp; Summary'!$N$14&gt;A70,B69+1,"")</f>
        <v/>
      </c>
      <c r="C70" s="71"/>
      <c r="D70" s="72"/>
      <c r="E70" s="72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68" t="str">
        <f>IF(B70="","",IF(B70='Setup &amp; Summary'!$N$14,J70-H70,I71-$N$5))</f>
        <v/>
      </c>
      <c r="J70" s="22" t="str">
        <f>IF(B70="","",IF(B70='Setup &amp; Summary'!$N$14,INDEX(B!J:J,MATCH(MAX(B!B:B),B!B:B)),I70+H70))</f>
        <v/>
      </c>
      <c r="K70" s="23" t="str">
        <f t="shared" si="0"/>
        <v/>
      </c>
      <c r="M70" s="60" t="str">
        <f>IF(B70="","",IF(B70*2='Setup &amp; Summary'!$N$14,"midstation row!",""))</f>
        <v/>
      </c>
    </row>
    <row r="71" spans="1:13" x14ac:dyDescent="0.2">
      <c r="A71" s="69">
        <f t="shared" si="4"/>
        <v>62</v>
      </c>
      <c r="B71" s="57" t="str">
        <f>IF('Setup &amp; Summary'!$N$14&gt;A71,B70+1,"")</f>
        <v/>
      </c>
      <c r="C71" s="71"/>
      <c r="D71" s="72"/>
      <c r="E71" s="72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68" t="str">
        <f>IF(B71="","",IF(B71='Setup &amp; Summary'!$N$14,J71-H71,I72-$N$5))</f>
        <v/>
      </c>
      <c r="J71" s="22" t="str">
        <f>IF(B71="","",IF(B71='Setup &amp; Summary'!$N$14,INDEX(B!J:J,MATCH(MAX(B!B:B),B!B:B)),I71+H71))</f>
        <v/>
      </c>
      <c r="K71" s="23" t="str">
        <f t="shared" si="0"/>
        <v/>
      </c>
      <c r="M71" s="60" t="str">
        <f>IF(B71="","",IF(B71*2='Setup &amp; Summary'!$N$14,"midstation row!",""))</f>
        <v/>
      </c>
    </row>
    <row r="72" spans="1:13" x14ac:dyDescent="0.2">
      <c r="A72" s="69">
        <f t="shared" si="4"/>
        <v>63</v>
      </c>
      <c r="B72" s="57" t="str">
        <f>IF('Setup &amp; Summary'!$N$14&gt;A72,B71+1,"")</f>
        <v/>
      </c>
      <c r="C72" s="71"/>
      <c r="D72" s="72"/>
      <c r="E72" s="72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68" t="str">
        <f>IF(B72="","",IF(B72='Setup &amp; Summary'!$N$14,J72-H72,I73-$N$5))</f>
        <v/>
      </c>
      <c r="J72" s="22" t="str">
        <f>IF(B72="","",IF(B72='Setup &amp; Summary'!$N$14,INDEX(B!J:J,MATCH(MAX(B!B:B),B!B:B)),I72+H72))</f>
        <v/>
      </c>
      <c r="K72" s="23" t="str">
        <f t="shared" si="0"/>
        <v/>
      </c>
      <c r="M72" s="60" t="str">
        <f>IF(B72="","",IF(B72*2='Setup &amp; Summary'!$N$14,"midstation row!",""))</f>
        <v/>
      </c>
    </row>
    <row r="73" spans="1:13" x14ac:dyDescent="0.2">
      <c r="A73" s="69">
        <f t="shared" si="4"/>
        <v>64</v>
      </c>
      <c r="B73" s="57" t="str">
        <f>IF('Setup &amp; Summary'!$N$14&gt;A73,B72+1,"")</f>
        <v/>
      </c>
      <c r="C73" s="71"/>
      <c r="D73" s="72"/>
      <c r="E73" s="72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68" t="str">
        <f>IF(B73="","",IF(B73='Setup &amp; Summary'!$N$14,J73-H73,I74-$N$5))</f>
        <v/>
      </c>
      <c r="J73" s="22" t="str">
        <f>IF(B73="","",IF(B73='Setup &amp; Summary'!$N$14,INDEX(B!J:J,MATCH(MAX(B!B:B),B!B:B)),I73+H73))</f>
        <v/>
      </c>
      <c r="K73" s="23" t="str">
        <f t="shared" ref="K73:K108" si="5">IF(B73="","",J73*$N$7)</f>
        <v/>
      </c>
      <c r="M73" s="60" t="str">
        <f>IF(B73="","",IF(B73*2='Setup &amp; Summary'!$N$14,"midstation row!",""))</f>
        <v/>
      </c>
    </row>
    <row r="74" spans="1:13" x14ac:dyDescent="0.2">
      <c r="A74" s="69">
        <f t="shared" si="4"/>
        <v>65</v>
      </c>
      <c r="B74" s="57" t="str">
        <f>IF('Setup &amp; Summary'!$N$14&gt;A74,B73+1,"")</f>
        <v/>
      </c>
      <c r="C74" s="71"/>
      <c r="D74" s="72"/>
      <c r="E74" s="72"/>
      <c r="F74" s="25" t="str">
        <f t="shared" ref="F74:F108" si="6">IF(B74="","",AVERAGE(C74:E74))</f>
        <v/>
      </c>
      <c r="G74" s="21" t="str">
        <f t="shared" ref="G74:G108" si="7">IF(B74="","",F74-$F$9)</f>
        <v/>
      </c>
      <c r="H74" s="25" t="str">
        <f t="shared" ref="H74:H108" si="8">IF(B74="","",H73+G74)</f>
        <v/>
      </c>
      <c r="I74" s="68" t="str">
        <f>IF(B74="","",IF(B74='Setup &amp; Summary'!$N$14,J74-H74,I75-$N$5))</f>
        <v/>
      </c>
      <c r="J74" s="22" t="str">
        <f>IF(B74="","",IF(B74='Setup &amp; Summary'!$N$14,INDEX(B!J:J,MATCH(MAX(B!B:B),B!B:B)),I74+H74))</f>
        <v/>
      </c>
      <c r="K74" s="23" t="str">
        <f t="shared" si="5"/>
        <v/>
      </c>
      <c r="M74" s="60" t="str">
        <f>IF(B74="","",IF(B74*2='Setup &amp; Summary'!$N$14,"midstation row!",""))</f>
        <v/>
      </c>
    </row>
    <row r="75" spans="1:13" x14ac:dyDescent="0.2">
      <c r="A75" s="69">
        <f t="shared" si="4"/>
        <v>66</v>
      </c>
      <c r="B75" s="57" t="str">
        <f>IF('Setup &amp; Summary'!$N$14&gt;A75,B74+1,"")</f>
        <v/>
      </c>
      <c r="C75" s="71"/>
      <c r="D75" s="72"/>
      <c r="E75" s="72"/>
      <c r="F75" s="25" t="str">
        <f t="shared" si="6"/>
        <v/>
      </c>
      <c r="G75" s="21" t="str">
        <f t="shared" si="7"/>
        <v/>
      </c>
      <c r="H75" s="25" t="str">
        <f t="shared" si="8"/>
        <v/>
      </c>
      <c r="I75" s="68" t="str">
        <f>IF(B75="","",IF(B75='Setup &amp; Summary'!$N$14,J75-H75,I76-$N$5))</f>
        <v/>
      </c>
      <c r="J75" s="22" t="str">
        <f>IF(B75="","",IF(B75='Setup &amp; Summary'!$N$14,INDEX(B!J:J,MATCH(MAX(B!B:B),B!B:B)),I75+H75))</f>
        <v/>
      </c>
      <c r="K75" s="23" t="str">
        <f t="shared" si="5"/>
        <v/>
      </c>
      <c r="M75" s="60" t="str">
        <f>IF(B75="","",IF(B75*2='Setup &amp; Summary'!$N$14,"midstation row!",""))</f>
        <v/>
      </c>
    </row>
    <row r="76" spans="1:13" x14ac:dyDescent="0.2">
      <c r="A76" s="69">
        <f t="shared" ref="A76:A108" si="9">A75+1</f>
        <v>67</v>
      </c>
      <c r="B76" s="57" t="str">
        <f>IF('Setup &amp; Summary'!$N$14&gt;A76,B75+1,"")</f>
        <v/>
      </c>
      <c r="C76" s="71"/>
      <c r="D76" s="72"/>
      <c r="E76" s="72"/>
      <c r="F76" s="25" t="str">
        <f t="shared" si="6"/>
        <v/>
      </c>
      <c r="G76" s="21" t="str">
        <f t="shared" si="7"/>
        <v/>
      </c>
      <c r="H76" s="25" t="str">
        <f t="shared" si="8"/>
        <v/>
      </c>
      <c r="I76" s="68" t="str">
        <f>IF(B76="","",IF(B76='Setup &amp; Summary'!$N$14,J76-H76,I77-$N$5))</f>
        <v/>
      </c>
      <c r="J76" s="22" t="str">
        <f>IF(B76="","",IF(B76='Setup &amp; Summary'!$N$14,INDEX(B!J:J,MATCH(MAX(B!B:B),B!B:B)),I76+H76))</f>
        <v/>
      </c>
      <c r="K76" s="23" t="str">
        <f t="shared" si="5"/>
        <v/>
      </c>
      <c r="M76" s="60" t="str">
        <f>IF(B76="","",IF(B76*2='Setup &amp; Summary'!$N$14,"midstation row!",""))</f>
        <v/>
      </c>
    </row>
    <row r="77" spans="1:13" x14ac:dyDescent="0.2">
      <c r="A77" s="69">
        <f t="shared" si="9"/>
        <v>68</v>
      </c>
      <c r="B77" s="57" t="str">
        <f>IF('Setup &amp; Summary'!$N$14&gt;A77,B76+1,"")</f>
        <v/>
      </c>
      <c r="C77" s="71"/>
      <c r="D77" s="72"/>
      <c r="E77" s="72"/>
      <c r="F77" s="25" t="str">
        <f t="shared" si="6"/>
        <v/>
      </c>
      <c r="G77" s="21" t="str">
        <f t="shared" si="7"/>
        <v/>
      </c>
      <c r="H77" s="25" t="str">
        <f t="shared" si="8"/>
        <v/>
      </c>
      <c r="I77" s="68" t="str">
        <f>IF(B77="","",IF(B77='Setup &amp; Summary'!$N$14,J77-H77,I78-$N$5))</f>
        <v/>
      </c>
      <c r="J77" s="22" t="str">
        <f>IF(B77="","",IF(B77='Setup &amp; Summary'!$N$14,INDEX(B!J:J,MATCH(MAX(B!B:B),B!B:B)),I77+H77))</f>
        <v/>
      </c>
      <c r="K77" s="23" t="str">
        <f t="shared" si="5"/>
        <v/>
      </c>
      <c r="M77" s="60" t="str">
        <f>IF(B77="","",IF(B77*2='Setup &amp; Summary'!$N$14,"midstation row!",""))</f>
        <v/>
      </c>
    </row>
    <row r="78" spans="1:13" x14ac:dyDescent="0.2">
      <c r="A78" s="69">
        <f t="shared" si="9"/>
        <v>69</v>
      </c>
      <c r="B78" s="57" t="str">
        <f>IF('Setup &amp; Summary'!$N$14&gt;A78,B77+1,"")</f>
        <v/>
      </c>
      <c r="C78" s="71"/>
      <c r="D78" s="72"/>
      <c r="E78" s="72"/>
      <c r="F78" s="25" t="str">
        <f t="shared" si="6"/>
        <v/>
      </c>
      <c r="G78" s="21" t="str">
        <f t="shared" si="7"/>
        <v/>
      </c>
      <c r="H78" s="25" t="str">
        <f t="shared" si="8"/>
        <v/>
      </c>
      <c r="I78" s="68" t="str">
        <f>IF(B78="","",IF(B78='Setup &amp; Summary'!$N$14,J78-H78,I79-$N$5))</f>
        <v/>
      </c>
      <c r="J78" s="22" t="str">
        <f>IF(B78="","",IF(B78='Setup &amp; Summary'!$N$14,INDEX(B!J:J,MATCH(MAX(B!B:B),B!B:B)),I78+H78))</f>
        <v/>
      </c>
      <c r="K78" s="23" t="str">
        <f t="shared" si="5"/>
        <v/>
      </c>
      <c r="M78" s="60" t="str">
        <f>IF(B78="","",IF(B78*2='Setup &amp; Summary'!$N$14,"midstation row!",""))</f>
        <v/>
      </c>
    </row>
    <row r="79" spans="1:13" x14ac:dyDescent="0.2">
      <c r="A79" s="69">
        <f t="shared" si="9"/>
        <v>70</v>
      </c>
      <c r="B79" s="57" t="str">
        <f>IF('Setup &amp; Summary'!$N$14&gt;A79,B78+1,"")</f>
        <v/>
      </c>
      <c r="C79" s="71"/>
      <c r="D79" s="72"/>
      <c r="E79" s="72"/>
      <c r="F79" s="25" t="str">
        <f t="shared" si="6"/>
        <v/>
      </c>
      <c r="G79" s="21" t="str">
        <f t="shared" si="7"/>
        <v/>
      </c>
      <c r="H79" s="25" t="str">
        <f t="shared" si="8"/>
        <v/>
      </c>
      <c r="I79" s="68" t="str">
        <f>IF(B79="","",IF(B79='Setup &amp; Summary'!$N$14,J79-H79,I80-$N$5))</f>
        <v/>
      </c>
      <c r="J79" s="22" t="str">
        <f>IF(B79="","",IF(B79='Setup &amp; Summary'!$N$14,INDEX(B!J:J,MATCH(MAX(B!B:B),B!B:B)),I79+H79))</f>
        <v/>
      </c>
      <c r="K79" s="23" t="str">
        <f t="shared" si="5"/>
        <v/>
      </c>
      <c r="M79" s="60" t="str">
        <f>IF(B79="","",IF(B79*2='Setup &amp; Summary'!$N$14,"midstation row!",""))</f>
        <v/>
      </c>
    </row>
    <row r="80" spans="1:13" x14ac:dyDescent="0.2">
      <c r="A80" s="69">
        <f t="shared" si="9"/>
        <v>71</v>
      </c>
      <c r="B80" s="57" t="str">
        <f>IF('Setup &amp; Summary'!$N$14&gt;A80,B79+1,"")</f>
        <v/>
      </c>
      <c r="C80" s="71"/>
      <c r="D80" s="72"/>
      <c r="E80" s="72"/>
      <c r="F80" s="25" t="str">
        <f t="shared" si="6"/>
        <v/>
      </c>
      <c r="G80" s="21" t="str">
        <f t="shared" si="7"/>
        <v/>
      </c>
      <c r="H80" s="25" t="str">
        <f t="shared" si="8"/>
        <v/>
      </c>
      <c r="I80" s="68" t="str">
        <f>IF(B80="","",IF(B80='Setup &amp; Summary'!$N$14,J80-H80,I81-$N$5))</f>
        <v/>
      </c>
      <c r="J80" s="22" t="str">
        <f>IF(B80="","",IF(B80='Setup &amp; Summary'!$N$14,INDEX(B!J:J,MATCH(MAX(B!B:B),B!B:B)),I80+H80))</f>
        <v/>
      </c>
      <c r="K80" s="23" t="str">
        <f t="shared" si="5"/>
        <v/>
      </c>
      <c r="M80" s="60" t="str">
        <f>IF(B80="","",IF(B80*2='Setup &amp; Summary'!$N$14,"midstation row!",""))</f>
        <v/>
      </c>
    </row>
    <row r="81" spans="1:13" x14ac:dyDescent="0.2">
      <c r="A81" s="69">
        <f t="shared" si="9"/>
        <v>72</v>
      </c>
      <c r="B81" s="57" t="str">
        <f>IF('Setup &amp; Summary'!$N$14&gt;A81,B80+1,"")</f>
        <v/>
      </c>
      <c r="C81" s="71"/>
      <c r="D81" s="72"/>
      <c r="E81" s="72"/>
      <c r="F81" s="25" t="str">
        <f t="shared" si="6"/>
        <v/>
      </c>
      <c r="G81" s="21" t="str">
        <f t="shared" si="7"/>
        <v/>
      </c>
      <c r="H81" s="25" t="str">
        <f t="shared" si="8"/>
        <v/>
      </c>
      <c r="I81" s="68" t="str">
        <f>IF(B81="","",IF(B81='Setup &amp; Summary'!$N$14,J81-H81,I82-$N$5))</f>
        <v/>
      </c>
      <c r="J81" s="22" t="str">
        <f>IF(B81="","",IF(B81='Setup &amp; Summary'!$N$14,INDEX(B!J:J,MATCH(MAX(B!B:B),B!B:B)),I81+H81))</f>
        <v/>
      </c>
      <c r="K81" s="23" t="str">
        <f t="shared" si="5"/>
        <v/>
      </c>
      <c r="M81" s="60" t="str">
        <f>IF(B81="","",IF(B81*2='Setup &amp; Summary'!$N$14,"midstation row!",""))</f>
        <v/>
      </c>
    </row>
    <row r="82" spans="1:13" x14ac:dyDescent="0.2">
      <c r="A82" s="69">
        <f t="shared" si="9"/>
        <v>73</v>
      </c>
      <c r="B82" s="57" t="str">
        <f>IF('Setup &amp; Summary'!$N$14&gt;A82,B81+1,"")</f>
        <v/>
      </c>
      <c r="C82" s="71"/>
      <c r="D82" s="72"/>
      <c r="E82" s="72"/>
      <c r="F82" s="25" t="str">
        <f t="shared" si="6"/>
        <v/>
      </c>
      <c r="G82" s="21" t="str">
        <f t="shared" si="7"/>
        <v/>
      </c>
      <c r="H82" s="25" t="str">
        <f t="shared" si="8"/>
        <v/>
      </c>
      <c r="I82" s="68" t="str">
        <f>IF(B82="","",IF(B82='Setup &amp; Summary'!$N$14,J82-H82,I83-$N$5))</f>
        <v/>
      </c>
      <c r="J82" s="22" t="str">
        <f>IF(B82="","",IF(B82='Setup &amp; Summary'!$N$14,INDEX(B!J:J,MATCH(MAX(B!B:B),B!B:B)),I82+H82))</f>
        <v/>
      </c>
      <c r="K82" s="23" t="str">
        <f t="shared" si="5"/>
        <v/>
      </c>
      <c r="M82" s="60" t="str">
        <f>IF(B82="","",IF(B82*2='Setup &amp; Summary'!$N$14,"midstation row!",""))</f>
        <v/>
      </c>
    </row>
    <row r="83" spans="1:13" x14ac:dyDescent="0.2">
      <c r="A83" s="69">
        <f t="shared" si="9"/>
        <v>74</v>
      </c>
      <c r="B83" s="57" t="str">
        <f>IF('Setup &amp; Summary'!$N$14&gt;A83,B82+1,"")</f>
        <v/>
      </c>
      <c r="C83" s="71"/>
      <c r="D83" s="72"/>
      <c r="E83" s="72"/>
      <c r="F83" s="25" t="str">
        <f t="shared" si="6"/>
        <v/>
      </c>
      <c r="G83" s="21" t="str">
        <f t="shared" si="7"/>
        <v/>
      </c>
      <c r="H83" s="25" t="str">
        <f t="shared" si="8"/>
        <v/>
      </c>
      <c r="I83" s="68" t="str">
        <f>IF(B83="","",IF(B83='Setup &amp; Summary'!$N$14,J83-H83,I84-$N$5))</f>
        <v/>
      </c>
      <c r="J83" s="22" t="str">
        <f>IF(B83="","",IF(B83='Setup &amp; Summary'!$N$14,INDEX(B!J:J,MATCH(MAX(B!B:B),B!B:B)),I83+H83))</f>
        <v/>
      </c>
      <c r="K83" s="23" t="str">
        <f t="shared" si="5"/>
        <v/>
      </c>
      <c r="M83" s="60" t="str">
        <f>IF(B83="","",IF(B83*2='Setup &amp; Summary'!$N$14,"midstation row!",""))</f>
        <v/>
      </c>
    </row>
    <row r="84" spans="1:13" x14ac:dyDescent="0.2">
      <c r="A84" s="69">
        <f t="shared" si="9"/>
        <v>75</v>
      </c>
      <c r="B84" s="57" t="str">
        <f>IF('Setup &amp; Summary'!$N$14&gt;A84,B83+1,"")</f>
        <v/>
      </c>
      <c r="C84" s="71"/>
      <c r="D84" s="72"/>
      <c r="E84" s="72"/>
      <c r="F84" s="25" t="str">
        <f t="shared" si="6"/>
        <v/>
      </c>
      <c r="G84" s="21" t="str">
        <f t="shared" si="7"/>
        <v/>
      </c>
      <c r="H84" s="25" t="str">
        <f t="shared" si="8"/>
        <v/>
      </c>
      <c r="I84" s="68" t="str">
        <f>IF(B84="","",IF(B84='Setup &amp; Summary'!$N$14,J84-H84,I85-$N$5))</f>
        <v/>
      </c>
      <c r="J84" s="22" t="str">
        <f>IF(B84="","",IF(B84='Setup &amp; Summary'!$N$14,INDEX(B!J:J,MATCH(MAX(B!B:B),B!B:B)),I84+H84))</f>
        <v/>
      </c>
      <c r="K84" s="23" t="str">
        <f t="shared" si="5"/>
        <v/>
      </c>
      <c r="M84" s="60" t="str">
        <f>IF(B84="","",IF(B84*2='Setup &amp; Summary'!$N$14,"midstation row!",""))</f>
        <v/>
      </c>
    </row>
    <row r="85" spans="1:13" x14ac:dyDescent="0.2">
      <c r="A85" s="69">
        <f t="shared" si="9"/>
        <v>76</v>
      </c>
      <c r="B85" s="57" t="str">
        <f>IF('Setup &amp; Summary'!$N$14&gt;A85,B84+1,"")</f>
        <v/>
      </c>
      <c r="C85" s="71"/>
      <c r="D85" s="72"/>
      <c r="E85" s="72"/>
      <c r="F85" s="25" t="str">
        <f t="shared" si="6"/>
        <v/>
      </c>
      <c r="G85" s="21" t="str">
        <f t="shared" si="7"/>
        <v/>
      </c>
      <c r="H85" s="25" t="str">
        <f t="shared" si="8"/>
        <v/>
      </c>
      <c r="I85" s="68" t="str">
        <f>IF(B85="","",IF(B85='Setup &amp; Summary'!$N$14,J85-H85,I86-$N$5))</f>
        <v/>
      </c>
      <c r="J85" s="22" t="str">
        <f>IF(B85="","",IF(B85='Setup &amp; Summary'!$N$14,INDEX(B!J:J,MATCH(MAX(B!B:B),B!B:B)),I85+H85))</f>
        <v/>
      </c>
      <c r="K85" s="23" t="str">
        <f t="shared" si="5"/>
        <v/>
      </c>
      <c r="M85" s="60" t="str">
        <f>IF(B85="","",IF(B85*2='Setup &amp; Summary'!$N$14,"midstation row!",""))</f>
        <v/>
      </c>
    </row>
    <row r="86" spans="1:13" x14ac:dyDescent="0.2">
      <c r="A86" s="69">
        <f t="shared" si="9"/>
        <v>77</v>
      </c>
      <c r="B86" s="57" t="str">
        <f>IF('Setup &amp; Summary'!$N$14&gt;A86,B85+1,"")</f>
        <v/>
      </c>
      <c r="C86" s="71"/>
      <c r="D86" s="72"/>
      <c r="E86" s="72"/>
      <c r="F86" s="25" t="str">
        <f t="shared" si="6"/>
        <v/>
      </c>
      <c r="G86" s="21" t="str">
        <f t="shared" si="7"/>
        <v/>
      </c>
      <c r="H86" s="25" t="str">
        <f t="shared" si="8"/>
        <v/>
      </c>
      <c r="I86" s="68" t="str">
        <f>IF(B86="","",IF(B86='Setup &amp; Summary'!$N$14,J86-H86,I87-$N$5))</f>
        <v/>
      </c>
      <c r="J86" s="22" t="str">
        <f>IF(B86="","",IF(B86='Setup &amp; Summary'!$N$14,INDEX(B!J:J,MATCH(MAX(B!B:B),B!B:B)),I86+H86))</f>
        <v/>
      </c>
      <c r="K86" s="23" t="str">
        <f t="shared" si="5"/>
        <v/>
      </c>
      <c r="M86" s="60" t="str">
        <f>IF(B86="","",IF(B86*2='Setup &amp; Summary'!$N$14,"midstation row!",""))</f>
        <v/>
      </c>
    </row>
    <row r="87" spans="1:13" x14ac:dyDescent="0.2">
      <c r="A87" s="69">
        <f t="shared" si="9"/>
        <v>78</v>
      </c>
      <c r="B87" s="57" t="str">
        <f>IF('Setup &amp; Summary'!$N$14&gt;A87,B86+1,"")</f>
        <v/>
      </c>
      <c r="C87" s="71"/>
      <c r="D87" s="72"/>
      <c r="E87" s="72"/>
      <c r="F87" s="25" t="str">
        <f t="shared" si="6"/>
        <v/>
      </c>
      <c r="G87" s="21" t="str">
        <f t="shared" si="7"/>
        <v/>
      </c>
      <c r="H87" s="25" t="str">
        <f t="shared" si="8"/>
        <v/>
      </c>
      <c r="I87" s="68" t="str">
        <f>IF(B87="","",IF(B87='Setup &amp; Summary'!$N$14,J87-H87,I88-$N$5))</f>
        <v/>
      </c>
      <c r="J87" s="22" t="str">
        <f>IF(B87="","",IF(B87='Setup &amp; Summary'!$N$14,INDEX(B!J:J,MATCH(MAX(B!B:B),B!B:B)),I87+H87))</f>
        <v/>
      </c>
      <c r="K87" s="23" t="str">
        <f t="shared" si="5"/>
        <v/>
      </c>
      <c r="M87" s="60" t="str">
        <f>IF(B87="","",IF(B87*2='Setup &amp; Summary'!$N$14,"midstation row!",""))</f>
        <v/>
      </c>
    </row>
    <row r="88" spans="1:13" x14ac:dyDescent="0.2">
      <c r="A88" s="69">
        <f t="shared" si="9"/>
        <v>79</v>
      </c>
      <c r="B88" s="57" t="str">
        <f>IF('Setup &amp; Summary'!$N$14&gt;A88,B87+1,"")</f>
        <v/>
      </c>
      <c r="C88" s="71"/>
      <c r="D88" s="72"/>
      <c r="E88" s="72"/>
      <c r="F88" s="25" t="str">
        <f t="shared" si="6"/>
        <v/>
      </c>
      <c r="G88" s="21" t="str">
        <f t="shared" si="7"/>
        <v/>
      </c>
      <c r="H88" s="25" t="str">
        <f t="shared" si="8"/>
        <v/>
      </c>
      <c r="I88" s="68" t="str">
        <f>IF(B88="","",IF(B88='Setup &amp; Summary'!$N$14,J88-H88,I89-$N$5))</f>
        <v/>
      </c>
      <c r="J88" s="22" t="str">
        <f>IF(B88="","",IF(B88='Setup &amp; Summary'!$N$14,INDEX(B!J:J,MATCH(MAX(B!B:B),B!B:B)),I88+H88))</f>
        <v/>
      </c>
      <c r="K88" s="23" t="str">
        <f t="shared" si="5"/>
        <v/>
      </c>
      <c r="M88" s="60" t="str">
        <f>IF(B88="","",IF(B88*2='Setup &amp; Summary'!$N$14,"midstation row!",""))</f>
        <v/>
      </c>
    </row>
    <row r="89" spans="1:13" x14ac:dyDescent="0.2">
      <c r="A89" s="69">
        <f t="shared" si="9"/>
        <v>80</v>
      </c>
      <c r="B89" s="57" t="str">
        <f>IF('Setup &amp; Summary'!$N$14&gt;A89,B88+1,"")</f>
        <v/>
      </c>
      <c r="C89" s="71"/>
      <c r="D89" s="72"/>
      <c r="E89" s="72"/>
      <c r="F89" s="25" t="str">
        <f t="shared" si="6"/>
        <v/>
      </c>
      <c r="G89" s="21" t="str">
        <f t="shared" si="7"/>
        <v/>
      </c>
      <c r="H89" s="25" t="str">
        <f t="shared" si="8"/>
        <v/>
      </c>
      <c r="I89" s="68" t="str">
        <f>IF(B89="","",IF(B89='Setup &amp; Summary'!$N$14,J89-H89,I90-$N$5))</f>
        <v/>
      </c>
      <c r="J89" s="22" t="str">
        <f>IF(B89="","",IF(B89='Setup &amp; Summary'!$N$14,INDEX(B!J:J,MATCH(MAX(B!B:B),B!B:B)),I89+H89))</f>
        <v/>
      </c>
      <c r="K89" s="23" t="str">
        <f t="shared" si="5"/>
        <v/>
      </c>
      <c r="M89" s="60" t="str">
        <f>IF(B89="","",IF(B89*2='Setup &amp; Summary'!$N$14,"midstation row!",""))</f>
        <v/>
      </c>
    </row>
    <row r="90" spans="1:13" x14ac:dyDescent="0.2">
      <c r="A90" s="69">
        <f t="shared" si="9"/>
        <v>81</v>
      </c>
      <c r="B90" s="57" t="str">
        <f>IF('Setup &amp; Summary'!$N$14&gt;A90,B89+1,"")</f>
        <v/>
      </c>
      <c r="C90" s="71"/>
      <c r="D90" s="72"/>
      <c r="E90" s="72"/>
      <c r="F90" s="25" t="str">
        <f t="shared" si="6"/>
        <v/>
      </c>
      <c r="G90" s="21" t="str">
        <f t="shared" si="7"/>
        <v/>
      </c>
      <c r="H90" s="25" t="str">
        <f t="shared" si="8"/>
        <v/>
      </c>
      <c r="I90" s="68" t="str">
        <f>IF(B90="","",IF(B90='Setup &amp; Summary'!$N$14,J90-H90,I91-$N$5))</f>
        <v/>
      </c>
      <c r="J90" s="22" t="str">
        <f>IF(B90="","",IF(B90='Setup &amp; Summary'!$N$14,INDEX(B!J:J,MATCH(MAX(B!B:B),B!B:B)),I90+H90))</f>
        <v/>
      </c>
      <c r="K90" s="23" t="str">
        <f t="shared" si="5"/>
        <v/>
      </c>
      <c r="M90" s="60" t="str">
        <f>IF(B90="","",IF(B90*2='Setup &amp; Summary'!$N$14,"midstation row!",""))</f>
        <v/>
      </c>
    </row>
    <row r="91" spans="1:13" x14ac:dyDescent="0.2">
      <c r="A91" s="69">
        <f t="shared" si="9"/>
        <v>82</v>
      </c>
      <c r="B91" s="57" t="str">
        <f>IF('Setup &amp; Summary'!$N$14&gt;A91,B90+1,"")</f>
        <v/>
      </c>
      <c r="C91" s="71"/>
      <c r="D91" s="72"/>
      <c r="E91" s="72"/>
      <c r="F91" s="25" t="str">
        <f t="shared" si="6"/>
        <v/>
      </c>
      <c r="G91" s="21" t="str">
        <f t="shared" si="7"/>
        <v/>
      </c>
      <c r="H91" s="25" t="str">
        <f t="shared" si="8"/>
        <v/>
      </c>
      <c r="I91" s="68" t="str">
        <f>IF(B91="","",IF(B91='Setup &amp; Summary'!$N$14,J91-H91,I92-$N$5))</f>
        <v/>
      </c>
      <c r="J91" s="22" t="str">
        <f>IF(B91="","",IF(B91='Setup &amp; Summary'!$N$14,INDEX(B!J:J,MATCH(MAX(B!B:B),B!B:B)),I91+H91))</f>
        <v/>
      </c>
      <c r="K91" s="23" t="str">
        <f t="shared" si="5"/>
        <v/>
      </c>
      <c r="M91" s="60" t="str">
        <f>IF(B91="","",IF(B91*2='Setup &amp; Summary'!$N$14,"midstation row!",""))</f>
        <v/>
      </c>
    </row>
    <row r="92" spans="1:13" x14ac:dyDescent="0.2">
      <c r="A92" s="69">
        <f t="shared" si="9"/>
        <v>83</v>
      </c>
      <c r="B92" s="57" t="str">
        <f>IF('Setup &amp; Summary'!$N$14&gt;A92,B91+1,"")</f>
        <v/>
      </c>
      <c r="C92" s="71"/>
      <c r="D92" s="72"/>
      <c r="E92" s="72"/>
      <c r="F92" s="25" t="str">
        <f t="shared" si="6"/>
        <v/>
      </c>
      <c r="G92" s="21" t="str">
        <f t="shared" si="7"/>
        <v/>
      </c>
      <c r="H92" s="25" t="str">
        <f t="shared" si="8"/>
        <v/>
      </c>
      <c r="I92" s="68" t="str">
        <f>IF(B92="","",IF(B92='Setup &amp; Summary'!$N$14,J92-H92,I93-$N$5))</f>
        <v/>
      </c>
      <c r="J92" s="22" t="str">
        <f>IF(B92="","",IF(B92='Setup &amp; Summary'!$N$14,INDEX(B!J:J,MATCH(MAX(B!B:B),B!B:B)),I92+H92))</f>
        <v/>
      </c>
      <c r="K92" s="23" t="str">
        <f t="shared" si="5"/>
        <v/>
      </c>
      <c r="M92" s="60" t="str">
        <f>IF(B92="","",IF(B92*2='Setup &amp; Summary'!$N$14,"midstation row!",""))</f>
        <v/>
      </c>
    </row>
    <row r="93" spans="1:13" x14ac:dyDescent="0.2">
      <c r="A93" s="69">
        <f t="shared" si="9"/>
        <v>84</v>
      </c>
      <c r="B93" s="57" t="str">
        <f>IF('Setup &amp; Summary'!$N$14&gt;A93,B92+1,"")</f>
        <v/>
      </c>
      <c r="C93" s="71"/>
      <c r="D93" s="72"/>
      <c r="E93" s="72"/>
      <c r="F93" s="25" t="str">
        <f t="shared" si="6"/>
        <v/>
      </c>
      <c r="G93" s="21" t="str">
        <f t="shared" si="7"/>
        <v/>
      </c>
      <c r="H93" s="25" t="str">
        <f t="shared" si="8"/>
        <v/>
      </c>
      <c r="I93" s="68" t="str">
        <f>IF(B93="","",IF(B93='Setup &amp; Summary'!$N$14,J93-H93,I94-$N$5))</f>
        <v/>
      </c>
      <c r="J93" s="22" t="str">
        <f>IF(B93="","",IF(B93='Setup &amp; Summary'!$N$14,INDEX(B!J:J,MATCH(MAX(B!B:B),B!B:B)),I93+H93))</f>
        <v/>
      </c>
      <c r="K93" s="23" t="str">
        <f t="shared" si="5"/>
        <v/>
      </c>
      <c r="M93" s="60" t="str">
        <f>IF(B93="","",IF(B93*2='Setup &amp; Summary'!$N$14,"midstation row!",""))</f>
        <v/>
      </c>
    </row>
    <row r="94" spans="1:13" x14ac:dyDescent="0.2">
      <c r="A94" s="69">
        <f t="shared" si="9"/>
        <v>85</v>
      </c>
      <c r="B94" s="57" t="str">
        <f>IF('Setup &amp; Summary'!$N$14&gt;A94,B93+1,"")</f>
        <v/>
      </c>
      <c r="C94" s="71"/>
      <c r="D94" s="72"/>
      <c r="E94" s="72"/>
      <c r="F94" s="25" t="str">
        <f t="shared" si="6"/>
        <v/>
      </c>
      <c r="G94" s="21" t="str">
        <f t="shared" si="7"/>
        <v/>
      </c>
      <c r="H94" s="25" t="str">
        <f t="shared" si="8"/>
        <v/>
      </c>
      <c r="I94" s="68" t="str">
        <f>IF(B94="","",IF(B94='Setup &amp; Summary'!$N$14,J94-H94,I95-$N$5))</f>
        <v/>
      </c>
      <c r="J94" s="22" t="str">
        <f>IF(B94="","",IF(B94='Setup &amp; Summary'!$N$14,INDEX(B!J:J,MATCH(MAX(B!B:B),B!B:B)),I94+H94))</f>
        <v/>
      </c>
      <c r="K94" s="23" t="str">
        <f t="shared" si="5"/>
        <v/>
      </c>
      <c r="M94" s="60" t="str">
        <f>IF(B94="","",IF(B94*2='Setup &amp; Summary'!$N$14,"midstation row!",""))</f>
        <v/>
      </c>
    </row>
    <row r="95" spans="1:13" x14ac:dyDescent="0.2">
      <c r="A95" s="69">
        <f t="shared" si="9"/>
        <v>86</v>
      </c>
      <c r="B95" s="57" t="str">
        <f>IF('Setup &amp; Summary'!$N$14&gt;A95,B94+1,"")</f>
        <v/>
      </c>
      <c r="C95" s="71"/>
      <c r="D95" s="72"/>
      <c r="E95" s="72"/>
      <c r="F95" s="25" t="str">
        <f t="shared" si="6"/>
        <v/>
      </c>
      <c r="G95" s="21" t="str">
        <f t="shared" si="7"/>
        <v/>
      </c>
      <c r="H95" s="25" t="str">
        <f t="shared" si="8"/>
        <v/>
      </c>
      <c r="I95" s="68" t="str">
        <f>IF(B95="","",IF(B95='Setup &amp; Summary'!$N$14,J95-H95,I96-$N$5))</f>
        <v/>
      </c>
      <c r="J95" s="22" t="str">
        <f>IF(B95="","",IF(B95='Setup &amp; Summary'!$N$14,INDEX(B!J:J,MATCH(MAX(B!B:B),B!B:B)),I95+H95))</f>
        <v/>
      </c>
      <c r="K95" s="23" t="str">
        <f t="shared" si="5"/>
        <v/>
      </c>
      <c r="M95" s="60" t="str">
        <f>IF(B95="","",IF(B95*2='Setup &amp; Summary'!$N$14,"midstation row!",""))</f>
        <v/>
      </c>
    </row>
    <row r="96" spans="1:13" x14ac:dyDescent="0.2">
      <c r="A96" s="69">
        <f t="shared" si="9"/>
        <v>87</v>
      </c>
      <c r="B96" s="57" t="str">
        <f>IF('Setup &amp; Summary'!$N$14&gt;A96,B95+1,"")</f>
        <v/>
      </c>
      <c r="C96" s="71"/>
      <c r="D96" s="72"/>
      <c r="E96" s="72"/>
      <c r="F96" s="25" t="str">
        <f t="shared" si="6"/>
        <v/>
      </c>
      <c r="G96" s="21" t="str">
        <f t="shared" si="7"/>
        <v/>
      </c>
      <c r="H96" s="25" t="str">
        <f t="shared" si="8"/>
        <v/>
      </c>
      <c r="I96" s="68" t="str">
        <f>IF(B96="","",IF(B96='Setup &amp; Summary'!$N$14,J96-H96,I97-$N$5))</f>
        <v/>
      </c>
      <c r="J96" s="22" t="str">
        <f>IF(B96="","",IF(B96='Setup &amp; Summary'!$N$14,INDEX(B!J:J,MATCH(MAX(B!B:B),B!B:B)),I96+H96))</f>
        <v/>
      </c>
      <c r="K96" s="23" t="str">
        <f t="shared" si="5"/>
        <v/>
      </c>
      <c r="M96" s="60" t="str">
        <f>IF(B96="","",IF(B96*2='Setup &amp; Summary'!$N$14,"midstation row!",""))</f>
        <v/>
      </c>
    </row>
    <row r="97" spans="1:13" x14ac:dyDescent="0.2">
      <c r="A97" s="69">
        <f t="shared" si="9"/>
        <v>88</v>
      </c>
      <c r="B97" s="57" t="str">
        <f>IF('Setup &amp; Summary'!$N$14&gt;A97,B96+1,"")</f>
        <v/>
      </c>
      <c r="C97" s="71"/>
      <c r="D97" s="72"/>
      <c r="E97" s="72"/>
      <c r="F97" s="25" t="str">
        <f t="shared" si="6"/>
        <v/>
      </c>
      <c r="G97" s="21" t="str">
        <f t="shared" si="7"/>
        <v/>
      </c>
      <c r="H97" s="25" t="str">
        <f t="shared" si="8"/>
        <v/>
      </c>
      <c r="I97" s="68" t="str">
        <f>IF(B97="","",IF(B97='Setup &amp; Summary'!$N$14,J97-H97,I98-$N$5))</f>
        <v/>
      </c>
      <c r="J97" s="22" t="str">
        <f>IF(B97="","",IF(B97='Setup &amp; Summary'!$N$14,INDEX(B!J:J,MATCH(MAX(B!B:B),B!B:B)),I97+H97))</f>
        <v/>
      </c>
      <c r="K97" s="23" t="str">
        <f t="shared" si="5"/>
        <v/>
      </c>
      <c r="M97" s="60" t="str">
        <f>IF(B97="","",IF(B97*2='Setup &amp; Summary'!$N$14,"midstation row!",""))</f>
        <v/>
      </c>
    </row>
    <row r="98" spans="1:13" x14ac:dyDescent="0.2">
      <c r="A98" s="69">
        <f t="shared" si="9"/>
        <v>89</v>
      </c>
      <c r="B98" s="57" t="str">
        <f>IF('Setup &amp; Summary'!$N$14&gt;A98,B97+1,"")</f>
        <v/>
      </c>
      <c r="C98" s="71"/>
      <c r="D98" s="72"/>
      <c r="E98" s="72"/>
      <c r="F98" s="25" t="str">
        <f t="shared" si="6"/>
        <v/>
      </c>
      <c r="G98" s="21" t="str">
        <f t="shared" si="7"/>
        <v/>
      </c>
      <c r="H98" s="25" t="str">
        <f t="shared" si="8"/>
        <v/>
      </c>
      <c r="I98" s="68" t="str">
        <f>IF(B98="","",IF(B98='Setup &amp; Summary'!$N$14,J98-H98,I99-$N$5))</f>
        <v/>
      </c>
      <c r="J98" s="22" t="str">
        <f>IF(B98="","",IF(B98='Setup &amp; Summary'!$N$14,INDEX(B!J:J,MATCH(MAX(B!B:B),B!B:B)),I98+H98))</f>
        <v/>
      </c>
      <c r="K98" s="23" t="str">
        <f t="shared" si="5"/>
        <v/>
      </c>
      <c r="M98" s="60" t="str">
        <f>IF(B98="","",IF(B98*2='Setup &amp; Summary'!$N$14,"midstation row!",""))</f>
        <v/>
      </c>
    </row>
    <row r="99" spans="1:13" x14ac:dyDescent="0.2">
      <c r="A99" s="69">
        <f t="shared" si="9"/>
        <v>90</v>
      </c>
      <c r="B99" s="57" t="str">
        <f>IF('Setup &amp; Summary'!$N$14&gt;A99,B98+1,"")</f>
        <v/>
      </c>
      <c r="C99" s="71"/>
      <c r="D99" s="72"/>
      <c r="E99" s="72"/>
      <c r="F99" s="25" t="str">
        <f t="shared" si="6"/>
        <v/>
      </c>
      <c r="G99" s="21" t="str">
        <f t="shared" si="7"/>
        <v/>
      </c>
      <c r="H99" s="25" t="str">
        <f t="shared" si="8"/>
        <v/>
      </c>
      <c r="I99" s="68" t="str">
        <f>IF(B99="","",IF(B99='Setup &amp; Summary'!$N$14,J99-H99,I100-$N$5))</f>
        <v/>
      </c>
      <c r="J99" s="22" t="str">
        <f>IF(B99="","",IF(B99='Setup &amp; Summary'!$N$14,INDEX(B!J:J,MATCH(MAX(B!B:B),B!B:B)),I99+H99))</f>
        <v/>
      </c>
      <c r="K99" s="23" t="str">
        <f t="shared" si="5"/>
        <v/>
      </c>
      <c r="M99" s="60" t="str">
        <f>IF(B99="","",IF(B99*2='Setup &amp; Summary'!$N$14,"midstation row!",""))</f>
        <v/>
      </c>
    </row>
    <row r="100" spans="1:13" x14ac:dyDescent="0.2">
      <c r="A100" s="69">
        <f t="shared" si="9"/>
        <v>91</v>
      </c>
      <c r="B100" s="57" t="str">
        <f>IF('Setup &amp; Summary'!$N$14&gt;A100,B99+1,"")</f>
        <v/>
      </c>
      <c r="C100" s="71"/>
      <c r="D100" s="72"/>
      <c r="E100" s="72"/>
      <c r="F100" s="25" t="str">
        <f t="shared" si="6"/>
        <v/>
      </c>
      <c r="G100" s="21" t="str">
        <f t="shared" si="7"/>
        <v/>
      </c>
      <c r="H100" s="25" t="str">
        <f t="shared" si="8"/>
        <v/>
      </c>
      <c r="I100" s="68" t="str">
        <f>IF(B100="","",IF(B100='Setup &amp; Summary'!$N$14,J100-H100,I101-$N$5))</f>
        <v/>
      </c>
      <c r="J100" s="22" t="str">
        <f>IF(B100="","",IF(B100='Setup &amp; Summary'!$N$14,INDEX(B!J:J,MATCH(MAX(B!B:B),B!B:B)),I100+H100))</f>
        <v/>
      </c>
      <c r="K100" s="23" t="str">
        <f t="shared" si="5"/>
        <v/>
      </c>
      <c r="M100" s="60" t="str">
        <f>IF(B100="","",IF(B100*2='Setup &amp; Summary'!$N$14,"midstation row!",""))</f>
        <v/>
      </c>
    </row>
    <row r="101" spans="1:13" x14ac:dyDescent="0.2">
      <c r="A101" s="69">
        <f t="shared" si="9"/>
        <v>92</v>
      </c>
      <c r="B101" s="57" t="str">
        <f>IF('Setup &amp; Summary'!$N$14&gt;A101,B100+1,"")</f>
        <v/>
      </c>
      <c r="C101" s="71"/>
      <c r="D101" s="72"/>
      <c r="E101" s="72"/>
      <c r="F101" s="25" t="str">
        <f t="shared" si="6"/>
        <v/>
      </c>
      <c r="G101" s="21" t="str">
        <f t="shared" si="7"/>
        <v/>
      </c>
      <c r="H101" s="25" t="str">
        <f t="shared" si="8"/>
        <v/>
      </c>
      <c r="I101" s="68" t="str">
        <f>IF(B101="","",IF(B101='Setup &amp; Summary'!$N$14,J101-H101,I102-$N$5))</f>
        <v/>
      </c>
      <c r="J101" s="22" t="str">
        <f>IF(B101="","",IF(B101='Setup &amp; Summary'!$N$14,INDEX(B!J:J,MATCH(MAX(B!B:B),B!B:B)),I101+H101))</f>
        <v/>
      </c>
      <c r="K101" s="23" t="str">
        <f t="shared" si="5"/>
        <v/>
      </c>
      <c r="M101" s="60" t="str">
        <f>IF(B101="","",IF(B101*2='Setup &amp; Summary'!$N$14,"midstation row!",""))</f>
        <v/>
      </c>
    </row>
    <row r="102" spans="1:13" x14ac:dyDescent="0.2">
      <c r="A102" s="69">
        <f t="shared" si="9"/>
        <v>93</v>
      </c>
      <c r="B102" s="57" t="str">
        <f>IF('Setup &amp; Summary'!$N$14&gt;A102,B101+1,"")</f>
        <v/>
      </c>
      <c r="C102" s="71"/>
      <c r="D102" s="72"/>
      <c r="E102" s="72"/>
      <c r="F102" s="25" t="str">
        <f t="shared" si="6"/>
        <v/>
      </c>
      <c r="G102" s="21" t="str">
        <f t="shared" si="7"/>
        <v/>
      </c>
      <c r="H102" s="25" t="str">
        <f t="shared" si="8"/>
        <v/>
      </c>
      <c r="I102" s="68" t="str">
        <f>IF(B102="","",IF(B102='Setup &amp; Summary'!$N$14,J102-H102,I103-$N$5))</f>
        <v/>
      </c>
      <c r="J102" s="22" t="str">
        <f>IF(B102="","",IF(B102='Setup &amp; Summary'!$N$14,INDEX(B!J:J,MATCH(MAX(B!B:B),B!B:B)),I102+H102))</f>
        <v/>
      </c>
      <c r="K102" s="23" t="str">
        <f t="shared" si="5"/>
        <v/>
      </c>
      <c r="M102" s="60" t="str">
        <f>IF(B102="","",IF(B102*2='Setup &amp; Summary'!$N$14,"midstation row!",""))</f>
        <v/>
      </c>
    </row>
    <row r="103" spans="1:13" x14ac:dyDescent="0.2">
      <c r="A103" s="69">
        <f t="shared" si="9"/>
        <v>94</v>
      </c>
      <c r="B103" s="57" t="str">
        <f>IF('Setup &amp; Summary'!$N$14&gt;A103,B102+1,"")</f>
        <v/>
      </c>
      <c r="C103" s="71"/>
      <c r="D103" s="72"/>
      <c r="E103" s="72"/>
      <c r="F103" s="25" t="str">
        <f t="shared" si="6"/>
        <v/>
      </c>
      <c r="G103" s="21" t="str">
        <f t="shared" si="7"/>
        <v/>
      </c>
      <c r="H103" s="25" t="str">
        <f t="shared" si="8"/>
        <v/>
      </c>
      <c r="I103" s="68" t="str">
        <f>IF(B103="","",IF(B103='Setup &amp; Summary'!$N$14,J103-H103,I104-$N$5))</f>
        <v/>
      </c>
      <c r="J103" s="22" t="str">
        <f>IF(B103="","",IF(B103='Setup &amp; Summary'!$N$14,INDEX(B!J:J,MATCH(MAX(B!B:B),B!B:B)),I103+H103))</f>
        <v/>
      </c>
      <c r="K103" s="23" t="str">
        <f t="shared" si="5"/>
        <v/>
      </c>
      <c r="M103" s="60" t="str">
        <f>IF(B103="","",IF(B103*2='Setup &amp; Summary'!$N$14,"midstation row!",""))</f>
        <v/>
      </c>
    </row>
    <row r="104" spans="1:13" x14ac:dyDescent="0.2">
      <c r="A104" s="69">
        <f t="shared" si="9"/>
        <v>95</v>
      </c>
      <c r="B104" s="57" t="str">
        <f>IF('Setup &amp; Summary'!$N$14&gt;A104,B103+1,"")</f>
        <v/>
      </c>
      <c r="C104" s="71"/>
      <c r="D104" s="72"/>
      <c r="E104" s="72"/>
      <c r="F104" s="25" t="str">
        <f t="shared" si="6"/>
        <v/>
      </c>
      <c r="G104" s="21" t="str">
        <f t="shared" si="7"/>
        <v/>
      </c>
      <c r="H104" s="25" t="str">
        <f t="shared" si="8"/>
        <v/>
      </c>
      <c r="I104" s="68" t="str">
        <f>IF(B104="","",IF(B104='Setup &amp; Summary'!$N$14,J104-H104,I105-$N$5))</f>
        <v/>
      </c>
      <c r="J104" s="22" t="str">
        <f>IF(B104="","",IF(B104='Setup &amp; Summary'!$N$14,INDEX(B!J:J,MATCH(MAX(B!B:B),B!B:B)),I104+H104))</f>
        <v/>
      </c>
      <c r="K104" s="23" t="str">
        <f t="shared" si="5"/>
        <v/>
      </c>
      <c r="M104" s="60" t="str">
        <f>IF(B104="","",IF(B104*2='Setup &amp; Summary'!$N$14,"midstation row!",""))</f>
        <v/>
      </c>
    </row>
    <row r="105" spans="1:13" x14ac:dyDescent="0.2">
      <c r="A105" s="69">
        <f t="shared" si="9"/>
        <v>96</v>
      </c>
      <c r="B105" s="57" t="str">
        <f>IF('Setup &amp; Summary'!$N$14&gt;A105,B104+1,"")</f>
        <v/>
      </c>
      <c r="C105" s="71"/>
      <c r="D105" s="72"/>
      <c r="E105" s="72"/>
      <c r="F105" s="25" t="str">
        <f t="shared" si="6"/>
        <v/>
      </c>
      <c r="G105" s="21" t="str">
        <f t="shared" si="7"/>
        <v/>
      </c>
      <c r="H105" s="25" t="str">
        <f t="shared" si="8"/>
        <v/>
      </c>
      <c r="I105" s="68" t="str">
        <f>IF(B105="","",IF(B105='Setup &amp; Summary'!$N$14,J105-H105,I106-$N$5))</f>
        <v/>
      </c>
      <c r="J105" s="22" t="str">
        <f>IF(B105="","",IF(B105='Setup &amp; Summary'!$N$14,INDEX(B!J:J,MATCH(MAX(B!B:B),B!B:B)),I105+H105))</f>
        <v/>
      </c>
      <c r="K105" s="23" t="str">
        <f t="shared" si="5"/>
        <v/>
      </c>
      <c r="M105" s="60" t="str">
        <f>IF(B105="","",IF(B105*2='Setup &amp; Summary'!$N$14,"midstation row!",""))</f>
        <v/>
      </c>
    </row>
    <row r="106" spans="1:13" x14ac:dyDescent="0.2">
      <c r="A106" s="69">
        <f t="shared" si="9"/>
        <v>97</v>
      </c>
      <c r="B106" s="57" t="str">
        <f>IF('Setup &amp; Summary'!$N$14&gt;A106,B105+1,"")</f>
        <v/>
      </c>
      <c r="C106" s="71"/>
      <c r="D106" s="72"/>
      <c r="E106" s="72"/>
      <c r="F106" s="25" t="str">
        <f t="shared" si="6"/>
        <v/>
      </c>
      <c r="G106" s="21" t="str">
        <f t="shared" si="7"/>
        <v/>
      </c>
      <c r="H106" s="25" t="str">
        <f t="shared" si="8"/>
        <v/>
      </c>
      <c r="I106" s="68" t="str">
        <f>IF(B106="","",IF(B106='Setup &amp; Summary'!$N$14,J106-H106,I107-$N$5))</f>
        <v/>
      </c>
      <c r="J106" s="22" t="str">
        <f>IF(B106="","",IF(B106='Setup &amp; Summary'!$N$14,INDEX(B!J:J,MATCH(MAX(B!B:B),B!B:B)),I106+H106))</f>
        <v/>
      </c>
      <c r="K106" s="23" t="str">
        <f t="shared" si="5"/>
        <v/>
      </c>
      <c r="M106" s="60" t="str">
        <f>IF(B106="","",IF(B106*2='Setup &amp; Summary'!$N$14,"midstation row!",""))</f>
        <v/>
      </c>
    </row>
    <row r="107" spans="1:13" x14ac:dyDescent="0.2">
      <c r="A107" s="69">
        <f t="shared" si="9"/>
        <v>98</v>
      </c>
      <c r="B107" s="57" t="str">
        <f>IF('Setup &amp; Summary'!$N$14&gt;A107,B106+1,"")</f>
        <v/>
      </c>
      <c r="C107" s="71"/>
      <c r="D107" s="72"/>
      <c r="E107" s="72"/>
      <c r="F107" s="25" t="str">
        <f t="shared" si="6"/>
        <v/>
      </c>
      <c r="G107" s="21" t="str">
        <f t="shared" si="7"/>
        <v/>
      </c>
      <c r="H107" s="25" t="str">
        <f t="shared" si="8"/>
        <v/>
      </c>
      <c r="I107" s="68" t="str">
        <f>IF(B107="","",IF(B107='Setup &amp; Summary'!$N$14,J107-H107,I108-$N$5))</f>
        <v/>
      </c>
      <c r="J107" s="22" t="str">
        <f>IF(B107="","",IF(B107='Setup &amp; Summary'!$N$14,INDEX(B!J:J,MATCH(MAX(B!B:B),B!B:B)),I107+H107))</f>
        <v/>
      </c>
      <c r="K107" s="23" t="str">
        <f t="shared" si="5"/>
        <v/>
      </c>
      <c r="M107" s="60" t="str">
        <f>IF(B107="","",IF(B107*2='Setup &amp; Summary'!$N$14,"midstation row!",""))</f>
        <v/>
      </c>
    </row>
    <row r="108" spans="1:13" x14ac:dyDescent="0.2">
      <c r="A108" s="69">
        <f t="shared" si="9"/>
        <v>99</v>
      </c>
      <c r="B108" s="57" t="str">
        <f>IF('Setup &amp; Summary'!$N$14&gt;A108,B107+1,"")</f>
        <v/>
      </c>
      <c r="C108" s="71"/>
      <c r="D108" s="72"/>
      <c r="E108" s="72"/>
      <c r="F108" s="25" t="str">
        <f t="shared" si="6"/>
        <v/>
      </c>
      <c r="G108" s="21" t="str">
        <f t="shared" si="7"/>
        <v/>
      </c>
      <c r="H108" s="25" t="str">
        <f t="shared" si="8"/>
        <v/>
      </c>
      <c r="I108" s="68" t="str">
        <f>IF(B108="","",IF(B108='Setup &amp; Summary'!$N$14,J108-H108,I109-$N$5))</f>
        <v/>
      </c>
      <c r="J108" s="22" t="str">
        <f>IF(B108="","",IF(B108='Setup &amp; Summary'!$N$14,INDEX(B!J:J,MATCH(MAX(B!B:B),B!B:B)),I108+H108))</f>
        <v/>
      </c>
      <c r="K108" s="23" t="str">
        <f t="shared" si="5"/>
        <v/>
      </c>
      <c r="M108" s="60" t="str">
        <f>IF(B108="","",IF(B108*2='Setup &amp; Summary'!$N$14,"midstation row!",""))</f>
        <v/>
      </c>
    </row>
  </sheetData>
  <sheetProtection sheet="1" objects="1" scenarios="1" selectLockedCells="1"/>
  <conditionalFormatting sqref="M10:M108">
    <cfRule type="cellIs" dxfId="39" priority="7" operator="equal">
      <formula>""</formula>
    </cfRule>
    <cfRule type="cellIs" dxfId="38" priority="8" operator="equal">
      <formula>"Midstation Row!"</formula>
    </cfRule>
  </conditionalFormatting>
  <conditionalFormatting sqref="L32:M108 J1:K3 B10:B108 F10:I108 L10:M28 M20:M108">
    <cfRule type="cellIs" dxfId="37" priority="6" operator="equal">
      <formula>""</formula>
    </cfRule>
  </conditionalFormatting>
  <conditionalFormatting sqref="J10:K109">
    <cfRule type="cellIs" dxfId="36" priority="5" operator="equal">
      <formula>""</formula>
    </cfRule>
  </conditionalFormatting>
  <conditionalFormatting sqref="C9:E9">
    <cfRule type="expression" dxfId="35" priority="4">
      <formula>$B9=""</formula>
    </cfRule>
  </conditionalFormatting>
  <conditionalFormatting sqref="C10:E108">
    <cfRule type="expression" dxfId="34" priority="3">
      <formula>$B10=""</formula>
    </cfRule>
  </conditionalFormatting>
  <conditionalFormatting sqref="I10">
    <cfRule type="expression" dxfId="33" priority="2">
      <formula>$M10="Midstation Row!"</formula>
    </cfRule>
  </conditionalFormatting>
  <conditionalFormatting sqref="I10:I108">
    <cfRule type="expression" dxfId="32" priority="1">
      <formula>$M10="Midstation Row!"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10"/>
  <sheetViews>
    <sheetView zoomScale="70" zoomScaleNormal="70" workbookViewId="0">
      <selection activeCell="C9" sqref="C9"/>
    </sheetView>
  </sheetViews>
  <sheetFormatPr defaultRowHeight="12.75" x14ac:dyDescent="0.2"/>
  <cols>
    <col min="1" max="1" width="3.42578125" style="70" customWidth="1"/>
    <col min="13" max="13" width="23.42578125" customWidth="1"/>
    <col min="14" max="14" width="7.5703125" customWidth="1"/>
  </cols>
  <sheetData>
    <row r="1" spans="1:14" x14ac:dyDescent="0.2">
      <c r="A1" s="69"/>
      <c r="B1" s="28"/>
      <c r="C1" s="28"/>
      <c r="D1" s="28"/>
      <c r="E1" s="28"/>
      <c r="F1" s="28"/>
      <c r="G1" s="28"/>
      <c r="H1" s="28"/>
      <c r="I1" s="28"/>
      <c r="J1" s="31">
        <f>MIN(K:K)</f>
        <v>-211.28787878787836</v>
      </c>
      <c r="K1" t="s">
        <v>4</v>
      </c>
      <c r="M1" s="28"/>
      <c r="N1" s="28"/>
    </row>
    <row r="2" spans="1:14" ht="18" x14ac:dyDescent="0.25">
      <c r="A2" s="69"/>
      <c r="B2" s="1" t="str">
        <f>'Setup &amp; Summary'!P10&amp;"""x"&amp;'Setup &amp; Summary'!P11&amp;""" Plate, "&amp;'Setup &amp; Summary'!N16&amp;""" Foot Pad Distance"</f>
        <v>36"x48" Plate, 2" Foot Pad Distance</v>
      </c>
      <c r="G2" s="2" t="s">
        <v>49</v>
      </c>
      <c r="J2" s="31">
        <f>MAX(K:K)</f>
        <v>9</v>
      </c>
      <c r="K2" t="s">
        <v>5</v>
      </c>
    </row>
    <row r="3" spans="1:14" x14ac:dyDescent="0.2">
      <c r="A3" s="69"/>
      <c r="J3" s="31">
        <f>ABS(J1-J2)</f>
        <v>220.28787878787836</v>
      </c>
      <c r="K3" t="s">
        <v>6</v>
      </c>
    </row>
    <row r="4" spans="1:14" ht="13.5" thickBot="1" x14ac:dyDescent="0.25">
      <c r="A4" s="69"/>
    </row>
    <row r="5" spans="1:14" ht="13.5" thickTop="1" x14ac:dyDescent="0.2">
      <c r="A5" s="69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61" t="s">
        <v>0</v>
      </c>
      <c r="L5" s="66"/>
      <c r="M5" s="6" t="s">
        <v>1</v>
      </c>
      <c r="N5" s="7">
        <f>(INDEX(I:I,MATCH(MAX(B:B),B:B))-I8)/MAX(B:B)</f>
        <v>-1.4325757575757594</v>
      </c>
    </row>
    <row r="6" spans="1:14" ht="13.5" thickBot="1" x14ac:dyDescent="0.25">
      <c r="A6" s="69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62">
        <v>9</v>
      </c>
      <c r="L6" s="66"/>
      <c r="M6" s="11" t="s">
        <v>2</v>
      </c>
      <c r="N6" s="12">
        <f>'Setup &amp; Summary'!$N$16</f>
        <v>2</v>
      </c>
    </row>
    <row r="7" spans="1:14" ht="13.5" thickTop="1" x14ac:dyDescent="0.2">
      <c r="A7" s="69"/>
      <c r="B7" s="13"/>
      <c r="C7" s="14"/>
      <c r="D7" s="15"/>
      <c r="E7" s="15"/>
      <c r="F7" s="15"/>
      <c r="G7" s="15"/>
      <c r="H7" s="15"/>
      <c r="I7" s="15"/>
      <c r="J7" s="15"/>
      <c r="K7" s="63"/>
      <c r="L7" s="67"/>
      <c r="M7" s="6" t="s">
        <v>3</v>
      </c>
      <c r="N7" s="16">
        <f>N6*5</f>
        <v>10</v>
      </c>
    </row>
    <row r="8" spans="1:14" x14ac:dyDescent="0.2">
      <c r="A8" s="69"/>
      <c r="B8" s="57" t="s">
        <v>68</v>
      </c>
      <c r="C8" s="17"/>
      <c r="D8" s="18"/>
      <c r="E8" s="18"/>
      <c r="F8" s="19"/>
      <c r="G8" s="19"/>
      <c r="H8" s="20">
        <v>0</v>
      </c>
      <c r="I8" s="25">
        <f>INDEX(B!J:J,MATCH(MAX(B!B:B),B!B:B))</f>
        <v>-16.099999999999966</v>
      </c>
      <c r="J8" s="22">
        <f>IF(B8="","",I8+H8)</f>
        <v>-16.099999999999966</v>
      </c>
      <c r="K8" s="64">
        <f>IF(B8="","",J8*$N$7)</f>
        <v>-160.99999999999966</v>
      </c>
      <c r="L8" s="67"/>
      <c r="N8" s="24"/>
    </row>
    <row r="9" spans="1:14" x14ac:dyDescent="0.2">
      <c r="A9" s="69"/>
      <c r="B9" s="38">
        <v>1</v>
      </c>
      <c r="C9" s="71">
        <v>4.8</v>
      </c>
      <c r="D9" s="72">
        <v>4.9000000000000004</v>
      </c>
      <c r="E9" s="72">
        <v>5</v>
      </c>
      <c r="F9" s="25">
        <f>AVERAGE(C9:E9)</f>
        <v>4.8999999999999995</v>
      </c>
      <c r="G9" s="21">
        <f>F9-$F$9</f>
        <v>0</v>
      </c>
      <c r="H9" s="21">
        <f>H8+G9</f>
        <v>0</v>
      </c>
      <c r="I9" s="25">
        <f>I10-$N$5</f>
        <v>-17.53257575757571</v>
      </c>
      <c r="J9" s="22">
        <f t="shared" ref="J9:J72" si="0">IF(B9="","",I9+H9)</f>
        <v>-17.53257575757571</v>
      </c>
      <c r="K9" s="64">
        <f t="shared" ref="K9:K72" si="1">IF(B9="","",J9*$N$7)</f>
        <v>-175.32575757575711</v>
      </c>
      <c r="L9" s="67"/>
    </row>
    <row r="10" spans="1:14" x14ac:dyDescent="0.2">
      <c r="A10" s="69">
        <v>1</v>
      </c>
      <c r="B10" s="57">
        <f>IF('Setup &amp; Summary'!$N$15&gt;A10,A!B9+1,"")</f>
        <v>2</v>
      </c>
      <c r="C10" s="71">
        <v>4.8</v>
      </c>
      <c r="D10" s="72">
        <v>4.9000000000000004</v>
      </c>
      <c r="E10" s="72">
        <v>5</v>
      </c>
      <c r="F10" s="25">
        <f t="shared" ref="F10:F73" si="2">IF(B10="","",AVERAGE(C10:E10))</f>
        <v>4.8999999999999995</v>
      </c>
      <c r="G10" s="21">
        <f t="shared" ref="G10:G73" si="3">IF(B10="","",F10-$F$9)</f>
        <v>0</v>
      </c>
      <c r="H10" s="25">
        <f t="shared" ref="H10:H73" si="4">IF(B10="","",H9+G10)</f>
        <v>0</v>
      </c>
      <c r="I10" s="68">
        <f>IF(B10="","",IF(B10='Setup &amp; Summary'!$N$15,J10-H10,I11-$N$5))</f>
        <v>-18.965151515151469</v>
      </c>
      <c r="J10" s="22">
        <f>IF(B10="","",IF(B10='Setup &amp; Summary'!$N$15,INDEX(A!J:J,MATCH(MAX(A!B:B),A!B:B)),I10+H10))</f>
        <v>-18.965151515151469</v>
      </c>
      <c r="K10" s="23">
        <f t="shared" si="1"/>
        <v>-189.65151515151467</v>
      </c>
      <c r="L10" s="65"/>
      <c r="M10" s="60" t="str">
        <f>IF(B10="","",IF(B10*2='Setup &amp; Summary'!$N$15,"midstation row!",""))</f>
        <v/>
      </c>
    </row>
    <row r="11" spans="1:14" x14ac:dyDescent="0.2">
      <c r="A11" s="69">
        <f>A10+1</f>
        <v>2</v>
      </c>
      <c r="B11" s="57">
        <f>IF('Setup &amp; Summary'!$N$15&gt;A11,A!B10+1,"")</f>
        <v>3</v>
      </c>
      <c r="C11" s="71">
        <v>6.8</v>
      </c>
      <c r="D11" s="72">
        <v>7</v>
      </c>
      <c r="E11" s="72">
        <v>6.6</v>
      </c>
      <c r="F11" s="25">
        <f t="shared" si="2"/>
        <v>6.8</v>
      </c>
      <c r="G11" s="21">
        <f t="shared" si="3"/>
        <v>1.9000000000000004</v>
      </c>
      <c r="H11" s="25">
        <f t="shared" si="4"/>
        <v>1.9000000000000004</v>
      </c>
      <c r="I11" s="68">
        <f>IF(B11="","",IF(B11='Setup &amp; Summary'!$N$15,J11-H11,I12-$N$5))</f>
        <v>-20.397727272727227</v>
      </c>
      <c r="J11" s="22">
        <f>IF(B11="","",IF(B11='Setup &amp; Summary'!$N$15,INDEX(A!J:J,MATCH(MAX(A!B:B),A!B:B)),I11+H11))</f>
        <v>-18.497727272727225</v>
      </c>
      <c r="K11" s="23">
        <f t="shared" si="1"/>
        <v>-184.97727272727224</v>
      </c>
      <c r="L11" s="59"/>
      <c r="M11" s="60" t="str">
        <f>IF(B11="","",IF(B11*2='Setup &amp; Summary'!$N$15,"midstation row!",""))</f>
        <v/>
      </c>
    </row>
    <row r="12" spans="1:14" x14ac:dyDescent="0.2">
      <c r="A12" s="69">
        <f t="shared" ref="A12:A75" si="5">A11+1</f>
        <v>3</v>
      </c>
      <c r="B12" s="57">
        <f>IF('Setup &amp; Summary'!$N$15&gt;A12,A!B11+1,"")</f>
        <v>4</v>
      </c>
      <c r="C12" s="73">
        <v>5.4</v>
      </c>
      <c r="D12" s="72">
        <v>5.5</v>
      </c>
      <c r="E12" s="72">
        <v>5.6</v>
      </c>
      <c r="F12" s="25">
        <f t="shared" si="2"/>
        <v>5.5</v>
      </c>
      <c r="G12" s="21">
        <f t="shared" si="3"/>
        <v>0.60000000000000053</v>
      </c>
      <c r="H12" s="25">
        <f t="shared" si="4"/>
        <v>2.5000000000000009</v>
      </c>
      <c r="I12" s="68">
        <f>IF(B12="","",IF(B12='Setup &amp; Summary'!$N$15,J12-H12,I13-$N$5))</f>
        <v>-21.830303030302986</v>
      </c>
      <c r="J12" s="22">
        <f>IF(B12="","",IF(B12='Setup &amp; Summary'!$N$15,INDEX(A!J:J,MATCH(MAX(A!B:B),A!B:B)),I12+H12))</f>
        <v>-19.330303030302986</v>
      </c>
      <c r="K12" s="23">
        <f t="shared" si="1"/>
        <v>-193.30303030302986</v>
      </c>
      <c r="L12" s="59"/>
      <c r="M12" s="60" t="str">
        <f>IF(B12="","",IF(B12*2='Setup &amp; Summary'!$N$15,"midstation row!",""))</f>
        <v/>
      </c>
    </row>
    <row r="13" spans="1:14" x14ac:dyDescent="0.2">
      <c r="A13" s="69">
        <f t="shared" si="5"/>
        <v>4</v>
      </c>
      <c r="B13" s="57">
        <f>IF('Setup &amp; Summary'!$N$15&gt;A13,A!B12+1,"")</f>
        <v>5</v>
      </c>
      <c r="C13" s="71">
        <v>5</v>
      </c>
      <c r="D13" s="72">
        <v>5.2</v>
      </c>
      <c r="E13" s="72">
        <v>5.0999999999999996</v>
      </c>
      <c r="F13" s="25">
        <f t="shared" si="2"/>
        <v>5.0999999999999996</v>
      </c>
      <c r="G13" s="21">
        <f t="shared" si="3"/>
        <v>0.20000000000000018</v>
      </c>
      <c r="H13" s="25">
        <f t="shared" si="4"/>
        <v>2.7000000000000011</v>
      </c>
      <c r="I13" s="68">
        <f>IF(B13="","",IF(B13='Setup &amp; Summary'!$N$15,J13-H13,I14-$N$5))</f>
        <v>-23.262878787878744</v>
      </c>
      <c r="J13" s="22">
        <f>IF(B13="","",IF(B13='Setup &amp; Summary'!$N$15,INDEX(A!J:J,MATCH(MAX(A!B:B),A!B:B)),I13+H13))</f>
        <v>-20.562878787878745</v>
      </c>
      <c r="K13" s="23">
        <f t="shared" si="1"/>
        <v>-205.62878787878745</v>
      </c>
      <c r="L13" s="59"/>
      <c r="M13" s="60" t="str">
        <f>IF(B13="","",IF(B13*2='Setup &amp; Summary'!$N$15,"midstation row!",""))</f>
        <v/>
      </c>
    </row>
    <row r="14" spans="1:14" x14ac:dyDescent="0.2">
      <c r="A14" s="69">
        <f t="shared" si="5"/>
        <v>5</v>
      </c>
      <c r="B14" s="57">
        <f>IF('Setup &amp; Summary'!$N$15&gt;A14,A!B13+1,"")</f>
        <v>6</v>
      </c>
      <c r="C14" s="71">
        <v>5.9</v>
      </c>
      <c r="D14" s="72">
        <v>5.8</v>
      </c>
      <c r="E14" s="72">
        <v>5.6</v>
      </c>
      <c r="F14" s="25">
        <f t="shared" si="2"/>
        <v>5.7666666666666657</v>
      </c>
      <c r="G14" s="21">
        <f t="shared" si="3"/>
        <v>0.86666666666666625</v>
      </c>
      <c r="H14" s="25">
        <f t="shared" si="4"/>
        <v>3.5666666666666673</v>
      </c>
      <c r="I14" s="68">
        <f>IF(B14="","",IF(B14='Setup &amp; Summary'!$N$15,J14-H14,I15-$N$5))</f>
        <v>-24.695454545454503</v>
      </c>
      <c r="J14" s="22">
        <f>IF(B14="","",IF(B14='Setup &amp; Summary'!$N$15,INDEX(A!J:J,MATCH(MAX(A!B:B),A!B:B)),I14+H14))</f>
        <v>-21.128787878787836</v>
      </c>
      <c r="K14" s="23">
        <f t="shared" si="1"/>
        <v>-211.28787878787836</v>
      </c>
      <c r="L14" s="59"/>
      <c r="M14" s="60" t="str">
        <f>IF(B14="","",IF(B14*2='Setup &amp; Summary'!$N$15,"midstation row!",""))</f>
        <v/>
      </c>
    </row>
    <row r="15" spans="1:14" x14ac:dyDescent="0.2">
      <c r="A15" s="69">
        <f t="shared" si="5"/>
        <v>6</v>
      </c>
      <c r="B15" s="57">
        <f>IF('Setup &amp; Summary'!$N$15&gt;A15,A!B14+1,"")</f>
        <v>7</v>
      </c>
      <c r="C15" s="71">
        <v>7.3</v>
      </c>
      <c r="D15" s="72">
        <v>7.2</v>
      </c>
      <c r="E15" s="72">
        <v>7.1</v>
      </c>
      <c r="F15" s="25">
        <f t="shared" si="2"/>
        <v>7.2</v>
      </c>
      <c r="G15" s="21">
        <f t="shared" si="3"/>
        <v>2.3000000000000007</v>
      </c>
      <c r="H15" s="25">
        <f t="shared" si="4"/>
        <v>5.866666666666668</v>
      </c>
      <c r="I15" s="68">
        <f>IF(B15="","",IF(B15='Setup &amp; Summary'!$N$15,J15-H15,I16-$N$5))</f>
        <v>-26.128030303030261</v>
      </c>
      <c r="J15" s="22">
        <f>IF(B15="","",IF(B15='Setup &amp; Summary'!$N$15,INDEX(A!J:J,MATCH(MAX(A!B:B),A!B:B)),I15+H15))</f>
        <v>-20.261363636363594</v>
      </c>
      <c r="K15" s="23">
        <f t="shared" si="1"/>
        <v>-202.61363636363595</v>
      </c>
      <c r="L15" s="59"/>
      <c r="M15" s="60" t="str">
        <f>IF(B15="","",IF(B15*2='Setup &amp; Summary'!$N$15,"midstation row!",""))</f>
        <v/>
      </c>
    </row>
    <row r="16" spans="1:14" x14ac:dyDescent="0.2">
      <c r="A16" s="69">
        <f t="shared" si="5"/>
        <v>7</v>
      </c>
      <c r="B16" s="57">
        <f>IF('Setup &amp; Summary'!$N$15&gt;A16,A!B15+1,"")</f>
        <v>8</v>
      </c>
      <c r="C16" s="71">
        <v>7.7</v>
      </c>
      <c r="D16" s="72">
        <v>7.5</v>
      </c>
      <c r="E16" s="72">
        <v>7.5</v>
      </c>
      <c r="F16" s="25">
        <f t="shared" si="2"/>
        <v>7.5666666666666664</v>
      </c>
      <c r="G16" s="21">
        <f t="shared" si="3"/>
        <v>2.666666666666667</v>
      </c>
      <c r="H16" s="25">
        <f t="shared" si="4"/>
        <v>8.533333333333335</v>
      </c>
      <c r="I16" s="68">
        <f>IF(B16="","",IF(B16='Setup &amp; Summary'!$N$15,J16-H16,I17-$N$5))</f>
        <v>-27.56060606060602</v>
      </c>
      <c r="J16" s="22">
        <f>IF(B16="","",IF(B16='Setup &amp; Summary'!$N$15,INDEX(A!J:J,MATCH(MAX(A!B:B),A!B:B)),I16+H16))</f>
        <v>-19.027272727272685</v>
      </c>
      <c r="K16" s="23">
        <f t="shared" si="1"/>
        <v>-190.27272727272685</v>
      </c>
      <c r="L16" s="59"/>
      <c r="M16" s="60" t="str">
        <f>IF(B16="","",IF(B16*2='Setup &amp; Summary'!$N$15,"midstation row!",""))</f>
        <v/>
      </c>
    </row>
    <row r="17" spans="1:14" x14ac:dyDescent="0.2">
      <c r="A17" s="69">
        <f t="shared" si="5"/>
        <v>8</v>
      </c>
      <c r="B17" s="57">
        <f>IF('Setup &amp; Summary'!$N$15&gt;A17,A!B16+1,"")</f>
        <v>9</v>
      </c>
      <c r="C17" s="71">
        <v>7.6</v>
      </c>
      <c r="D17" s="72">
        <v>7.6</v>
      </c>
      <c r="E17" s="72">
        <v>7.5</v>
      </c>
      <c r="F17" s="25">
        <f t="shared" si="2"/>
        <v>7.5666666666666664</v>
      </c>
      <c r="G17" s="21">
        <f t="shared" si="3"/>
        <v>2.666666666666667</v>
      </c>
      <c r="H17" s="25">
        <f t="shared" si="4"/>
        <v>11.200000000000003</v>
      </c>
      <c r="I17" s="68">
        <f>IF(B17="","",IF(B17='Setup &amp; Summary'!$N$15,J17-H17,I18-$N$5))</f>
        <v>-28.993181818181778</v>
      </c>
      <c r="J17" s="22">
        <f>IF(B17="","",IF(B17='Setup &amp; Summary'!$N$15,INDEX(A!J:J,MATCH(MAX(A!B:B),A!B:B)),I17+H17))</f>
        <v>-17.793181818181775</v>
      </c>
      <c r="K17" s="23">
        <f t="shared" si="1"/>
        <v>-177.93181818181776</v>
      </c>
      <c r="L17" s="59"/>
      <c r="M17" s="60" t="str">
        <f>IF(B17="","",IF(B17*2='Setup &amp; Summary'!$N$15,"midstation row!",""))</f>
        <v/>
      </c>
      <c r="N17" s="58"/>
    </row>
    <row r="18" spans="1:14" x14ac:dyDescent="0.2">
      <c r="A18" s="69">
        <f t="shared" si="5"/>
        <v>9</v>
      </c>
      <c r="B18" s="57">
        <f>IF('Setup &amp; Summary'!$N$15&gt;A18,A!B17+1,"")</f>
        <v>10</v>
      </c>
      <c r="C18" s="71">
        <v>7.8</v>
      </c>
      <c r="D18" s="72">
        <v>8</v>
      </c>
      <c r="E18" s="72">
        <v>7.6</v>
      </c>
      <c r="F18" s="25">
        <f t="shared" si="2"/>
        <v>7.8</v>
      </c>
      <c r="G18" s="21">
        <f t="shared" si="3"/>
        <v>2.9000000000000004</v>
      </c>
      <c r="H18" s="25">
        <f t="shared" si="4"/>
        <v>14.100000000000003</v>
      </c>
      <c r="I18" s="68">
        <f>IF(B18="","",IF(B18='Setup &amp; Summary'!$N$15,J18-H18,I19-$N$5))</f>
        <v>-30.425757575757537</v>
      </c>
      <c r="J18" s="22">
        <f>IF(B18="","",IF(B18='Setup &amp; Summary'!$N$15,INDEX(A!J:J,MATCH(MAX(A!B:B),A!B:B)),I18+H18))</f>
        <v>-16.325757575757535</v>
      </c>
      <c r="K18" s="23">
        <f t="shared" si="1"/>
        <v>-163.25757575757535</v>
      </c>
      <c r="L18" s="59"/>
      <c r="M18" s="60" t="str">
        <f>IF(B18="","",IF(B18*2='Setup &amp; Summary'!$N$15,"midstation row!",""))</f>
        <v/>
      </c>
    </row>
    <row r="19" spans="1:14" x14ac:dyDescent="0.2">
      <c r="A19" s="69">
        <f t="shared" si="5"/>
        <v>10</v>
      </c>
      <c r="B19" s="57">
        <f>IF('Setup &amp; Summary'!$N$15&gt;A19,A!B18+1,"")</f>
        <v>11</v>
      </c>
      <c r="C19" s="71">
        <v>8.1999999999999993</v>
      </c>
      <c r="D19" s="72">
        <v>8</v>
      </c>
      <c r="E19" s="72">
        <v>8</v>
      </c>
      <c r="F19" s="25">
        <f t="shared" si="2"/>
        <v>8.0666666666666664</v>
      </c>
      <c r="G19" s="21">
        <f t="shared" si="3"/>
        <v>3.166666666666667</v>
      </c>
      <c r="H19" s="25">
        <f t="shared" si="4"/>
        <v>17.266666666666669</v>
      </c>
      <c r="I19" s="68">
        <f>IF(B19="","",IF(B19='Setup &amp; Summary'!$N$15,J19-H19,I20-$N$5))</f>
        <v>-31.858333333333295</v>
      </c>
      <c r="J19" s="22">
        <f>IF(B19="","",IF(B19='Setup &amp; Summary'!$N$15,INDEX(A!J:J,MATCH(MAX(A!B:B),A!B:B)),I19+H19))</f>
        <v>-14.591666666666626</v>
      </c>
      <c r="K19" s="23">
        <f t="shared" si="1"/>
        <v>-145.91666666666626</v>
      </c>
      <c r="L19" s="59"/>
      <c r="M19" s="60" t="str">
        <f>IF(B19="","",IF(B19*2='Setup &amp; Summary'!$N$15,"midstation row!",""))</f>
        <v>midstation row!</v>
      </c>
    </row>
    <row r="20" spans="1:14" x14ac:dyDescent="0.2">
      <c r="A20" s="69">
        <f t="shared" si="5"/>
        <v>11</v>
      </c>
      <c r="B20" s="57">
        <f>IF('Setup &amp; Summary'!$N$15&gt;A20,A!B19+1,"")</f>
        <v>12</v>
      </c>
      <c r="C20" s="71">
        <v>7.6</v>
      </c>
      <c r="D20" s="72">
        <v>7.5</v>
      </c>
      <c r="E20" s="72">
        <v>7.2</v>
      </c>
      <c r="F20" s="25">
        <f t="shared" si="2"/>
        <v>7.4333333333333336</v>
      </c>
      <c r="G20" s="21">
        <f t="shared" si="3"/>
        <v>2.5333333333333341</v>
      </c>
      <c r="H20" s="25">
        <f t="shared" si="4"/>
        <v>19.800000000000004</v>
      </c>
      <c r="I20" s="68">
        <f>IF(B20="","",IF(B20='Setup &amp; Summary'!$N$15,J20-H20,I21-$N$5))</f>
        <v>-33.290909090909054</v>
      </c>
      <c r="J20" s="22">
        <f>IF(B20="","",IF(B20='Setup &amp; Summary'!$N$15,INDEX(A!J:J,MATCH(MAX(A!B:B),A!B:B)),I20+H20))</f>
        <v>-13.490909090909049</v>
      </c>
      <c r="K20" s="23">
        <f t="shared" si="1"/>
        <v>-134.90909090909048</v>
      </c>
      <c r="L20" s="59"/>
      <c r="M20" s="60" t="str">
        <f>IF(B20="","",IF(B20*2='Setup &amp; Summary'!$N$15,"midstation row!",""))</f>
        <v/>
      </c>
    </row>
    <row r="21" spans="1:14" x14ac:dyDescent="0.2">
      <c r="A21" s="69">
        <f t="shared" si="5"/>
        <v>12</v>
      </c>
      <c r="B21" s="57">
        <f>IF('Setup &amp; Summary'!$N$15&gt;A21,A!B20+1,"")</f>
        <v>13</v>
      </c>
      <c r="C21" s="71">
        <v>7</v>
      </c>
      <c r="D21" s="72">
        <v>6.8</v>
      </c>
      <c r="E21" s="72">
        <v>7</v>
      </c>
      <c r="F21" s="25">
        <f t="shared" si="2"/>
        <v>6.9333333333333336</v>
      </c>
      <c r="G21" s="21">
        <f t="shared" si="3"/>
        <v>2.0333333333333341</v>
      </c>
      <c r="H21" s="25">
        <f t="shared" si="4"/>
        <v>21.833333333333339</v>
      </c>
      <c r="I21" s="68">
        <f>IF(B21="","",IF(B21='Setup &amp; Summary'!$N$15,J21-H21,I22-$N$5))</f>
        <v>-34.723484848484816</v>
      </c>
      <c r="J21" s="22">
        <f>IF(B21="","",IF(B21='Setup &amp; Summary'!$N$15,INDEX(A!J:J,MATCH(MAX(A!B:B),A!B:B)),I21+H21))</f>
        <v>-12.890151515151477</v>
      </c>
      <c r="K21" s="23">
        <f t="shared" si="1"/>
        <v>-128.90151515151476</v>
      </c>
      <c r="L21" s="59"/>
      <c r="M21" s="60" t="str">
        <f>IF(B21="","",IF(B21*2='Setup &amp; Summary'!$N$15,"midstation row!",""))</f>
        <v/>
      </c>
    </row>
    <row r="22" spans="1:14" x14ac:dyDescent="0.2">
      <c r="A22" s="69">
        <f t="shared" si="5"/>
        <v>13</v>
      </c>
      <c r="B22" s="57">
        <f>IF('Setup &amp; Summary'!$N$15&gt;A22,A!B21+1,"")</f>
        <v>14</v>
      </c>
      <c r="C22" s="71">
        <v>6.2</v>
      </c>
      <c r="D22" s="72">
        <v>6</v>
      </c>
      <c r="E22" s="72">
        <v>6</v>
      </c>
      <c r="F22" s="25">
        <f t="shared" si="2"/>
        <v>6.0666666666666664</v>
      </c>
      <c r="G22" s="21">
        <f t="shared" si="3"/>
        <v>1.166666666666667</v>
      </c>
      <c r="H22" s="25">
        <f t="shared" si="4"/>
        <v>23.000000000000007</v>
      </c>
      <c r="I22" s="68">
        <f>IF(B22="","",IF(B22='Setup &amp; Summary'!$N$15,J22-H22,I23-$N$5))</f>
        <v>-36.156060606060578</v>
      </c>
      <c r="J22" s="22">
        <f>IF(B22="","",IF(B22='Setup &amp; Summary'!$N$15,INDEX(A!J:J,MATCH(MAX(A!B:B),A!B:B)),I22+H22))</f>
        <v>-13.156060606060571</v>
      </c>
      <c r="K22" s="23">
        <f t="shared" si="1"/>
        <v>-131.56060606060572</v>
      </c>
      <c r="L22" s="59"/>
      <c r="M22" s="60" t="str">
        <f>IF(B22="","",IF(B22*2='Setup &amp; Summary'!$N$15,"midstation row!",""))</f>
        <v/>
      </c>
    </row>
    <row r="23" spans="1:14" x14ac:dyDescent="0.2">
      <c r="A23" s="69">
        <f t="shared" si="5"/>
        <v>14</v>
      </c>
      <c r="B23" s="57">
        <f>IF('Setup &amp; Summary'!$N$15&gt;A23,A!B22+1,"")</f>
        <v>15</v>
      </c>
      <c r="C23" s="71">
        <v>7.2</v>
      </c>
      <c r="D23" s="72">
        <v>7</v>
      </c>
      <c r="E23" s="72">
        <v>7</v>
      </c>
      <c r="F23" s="25">
        <f t="shared" si="2"/>
        <v>7.0666666666666664</v>
      </c>
      <c r="G23" s="21">
        <f t="shared" si="3"/>
        <v>2.166666666666667</v>
      </c>
      <c r="H23" s="25">
        <f t="shared" si="4"/>
        <v>25.166666666666675</v>
      </c>
      <c r="I23" s="68">
        <f>IF(B23="","",IF(B23='Setup &amp; Summary'!$N$15,J23-H23,I24-$N$5))</f>
        <v>-37.58863636363634</v>
      </c>
      <c r="J23" s="22">
        <f>IF(B23="","",IF(B23='Setup &amp; Summary'!$N$15,INDEX(A!J:J,MATCH(MAX(A!B:B),A!B:B)),I23+H23))</f>
        <v>-12.421969696969665</v>
      </c>
      <c r="K23" s="23">
        <f t="shared" si="1"/>
        <v>-124.21969696969666</v>
      </c>
      <c r="L23" s="59"/>
      <c r="M23" s="60" t="str">
        <f>IF(B23="","",IF(B23*2='Setup &amp; Summary'!$N$15,"midstation row!",""))</f>
        <v/>
      </c>
    </row>
    <row r="24" spans="1:14" x14ac:dyDescent="0.2">
      <c r="A24" s="69">
        <f t="shared" si="5"/>
        <v>15</v>
      </c>
      <c r="B24" s="57">
        <f>IF('Setup &amp; Summary'!$N$15&gt;A24,A!B23+1,"")</f>
        <v>16</v>
      </c>
      <c r="C24" s="71">
        <v>7.2</v>
      </c>
      <c r="D24" s="72">
        <v>7</v>
      </c>
      <c r="E24" s="72">
        <v>7.1</v>
      </c>
      <c r="F24" s="25">
        <f t="shared" si="2"/>
        <v>7.0999999999999988</v>
      </c>
      <c r="G24" s="21">
        <f t="shared" si="3"/>
        <v>2.1999999999999993</v>
      </c>
      <c r="H24" s="25">
        <f t="shared" si="4"/>
        <v>27.366666666666674</v>
      </c>
      <c r="I24" s="68">
        <f>IF(B24="","",IF(B24='Setup &amp; Summary'!$N$15,J24-H24,I25-$N$5))</f>
        <v>-39.021212121212102</v>
      </c>
      <c r="J24" s="22">
        <f>IF(B24="","",IF(B24='Setup &amp; Summary'!$N$15,INDEX(A!J:J,MATCH(MAX(A!B:B),A!B:B)),I24+H24))</f>
        <v>-11.654545454545428</v>
      </c>
      <c r="K24" s="23">
        <f t="shared" si="1"/>
        <v>-116.54545454545428</v>
      </c>
      <c r="L24" s="59"/>
      <c r="M24" s="60" t="str">
        <f>IF(B24="","",IF(B24*2='Setup &amp; Summary'!$N$15,"midstation row!",""))</f>
        <v/>
      </c>
    </row>
    <row r="25" spans="1:14" x14ac:dyDescent="0.2">
      <c r="A25" s="69">
        <f t="shared" si="5"/>
        <v>16</v>
      </c>
      <c r="B25" s="57">
        <f>IF('Setup &amp; Summary'!$N$15&gt;A25,A!B24+1,"")</f>
        <v>17</v>
      </c>
      <c r="C25" s="71">
        <v>7.1</v>
      </c>
      <c r="D25" s="72">
        <v>7.3</v>
      </c>
      <c r="E25" s="72">
        <v>7.1</v>
      </c>
      <c r="F25" s="25">
        <f t="shared" si="2"/>
        <v>7.166666666666667</v>
      </c>
      <c r="G25" s="21">
        <f t="shared" si="3"/>
        <v>2.2666666666666675</v>
      </c>
      <c r="H25" s="25">
        <f t="shared" si="4"/>
        <v>29.63333333333334</v>
      </c>
      <c r="I25" s="68">
        <f>IF(B25="","",IF(B25='Setup &amp; Summary'!$N$15,J25-H25,I26-$N$5))</f>
        <v>-40.453787878787864</v>
      </c>
      <c r="J25" s="22">
        <f>IF(B25="","",IF(B25='Setup &amp; Summary'!$N$15,INDEX(A!J:J,MATCH(MAX(A!B:B),A!B:B)),I25+H25))</f>
        <v>-10.820454545454524</v>
      </c>
      <c r="K25" s="23">
        <f t="shared" si="1"/>
        <v>-108.20454545454524</v>
      </c>
      <c r="L25" s="59"/>
      <c r="M25" s="60" t="str">
        <f>IF(B25="","",IF(B25*2='Setup &amp; Summary'!$N$15,"midstation row!",""))</f>
        <v/>
      </c>
    </row>
    <row r="26" spans="1:14" x14ac:dyDescent="0.2">
      <c r="A26" s="69">
        <f t="shared" si="5"/>
        <v>17</v>
      </c>
      <c r="B26" s="57">
        <f>IF('Setup &amp; Summary'!$N$15&gt;A26,A!B25+1,"")</f>
        <v>18</v>
      </c>
      <c r="C26" s="71">
        <v>7.4</v>
      </c>
      <c r="D26" s="72">
        <v>7.4</v>
      </c>
      <c r="E26" s="72">
        <v>7.6</v>
      </c>
      <c r="F26" s="25">
        <f t="shared" si="2"/>
        <v>7.4666666666666659</v>
      </c>
      <c r="G26" s="21">
        <f t="shared" si="3"/>
        <v>2.5666666666666664</v>
      </c>
      <c r="H26" s="25">
        <f t="shared" si="4"/>
        <v>32.200000000000003</v>
      </c>
      <c r="I26" s="68">
        <f>IF(B26="","",IF(B26='Setup &amp; Summary'!$N$15,J26-H26,I27-$N$5))</f>
        <v>-41.886363636363626</v>
      </c>
      <c r="J26" s="22">
        <f>IF(B26="","",IF(B26='Setup &amp; Summary'!$N$15,INDEX(A!J:J,MATCH(MAX(A!B:B),A!B:B)),I26+H26))</f>
        <v>-9.6863636363636232</v>
      </c>
      <c r="K26" s="23">
        <f>IF(B26="","",J26*$N$7)</f>
        <v>-96.863636363636232</v>
      </c>
      <c r="L26" s="59"/>
      <c r="M26" s="60" t="str">
        <f>IF(B26="","",IF(B26*2='Setup &amp; Summary'!$N$15,"midstation row!",""))</f>
        <v/>
      </c>
    </row>
    <row r="27" spans="1:14" x14ac:dyDescent="0.2">
      <c r="A27" s="69">
        <f t="shared" si="5"/>
        <v>18</v>
      </c>
      <c r="B27" s="57">
        <f>IF('Setup &amp; Summary'!$N$15&gt;A27,A!B26+1,"")</f>
        <v>19</v>
      </c>
      <c r="C27" s="71">
        <v>6.2</v>
      </c>
      <c r="D27" s="72">
        <v>6</v>
      </c>
      <c r="E27" s="72">
        <v>6.2</v>
      </c>
      <c r="F27" s="25">
        <f t="shared" si="2"/>
        <v>6.1333333333333329</v>
      </c>
      <c r="G27" s="21">
        <f t="shared" si="3"/>
        <v>1.2333333333333334</v>
      </c>
      <c r="H27" s="25">
        <f t="shared" si="4"/>
        <v>33.433333333333337</v>
      </c>
      <c r="I27" s="68">
        <f>IF(B27="","",IF(B27='Setup &amp; Summary'!$N$15,J27-H27,I28-$N$5))</f>
        <v>-43.318939393939388</v>
      </c>
      <c r="J27" s="22">
        <f>IF(B27="","",IF(B27='Setup &amp; Summary'!$N$15,INDEX(A!J:J,MATCH(MAX(A!B:B),A!B:B)),I27+H27))</f>
        <v>-9.885606060606051</v>
      </c>
      <c r="K27" s="23">
        <f t="shared" si="1"/>
        <v>-98.85606060606051</v>
      </c>
      <c r="M27" s="60" t="str">
        <f>IF(B27="","",IF(B27*2='Setup &amp; Summary'!$N$15,"midstation row!",""))</f>
        <v/>
      </c>
    </row>
    <row r="28" spans="1:14" x14ac:dyDescent="0.2">
      <c r="A28" s="69">
        <f t="shared" si="5"/>
        <v>19</v>
      </c>
      <c r="B28" s="57">
        <f>IF('Setup &amp; Summary'!$N$15&gt;A28,A!B27+1,"")</f>
        <v>20</v>
      </c>
      <c r="C28" s="71">
        <v>7</v>
      </c>
      <c r="D28" s="72">
        <v>7.2</v>
      </c>
      <c r="E28" s="72">
        <v>7.1</v>
      </c>
      <c r="F28" s="25">
        <f>IF(B28="","",AVERAGE(C28:E28))</f>
        <v>7.0999999999999988</v>
      </c>
      <c r="G28" s="21">
        <f>IF(B28="","",F28-$F$9)</f>
        <v>2.1999999999999993</v>
      </c>
      <c r="H28" s="25">
        <f>IF(B28="","",H27+G28)</f>
        <v>35.63333333333334</v>
      </c>
      <c r="I28" s="68">
        <f>IF(B28="","",IF(B28='Setup &amp; Summary'!$N$15,J28-H28,I29-$N$5))</f>
        <v>-44.75151515151515</v>
      </c>
      <c r="J28" s="22">
        <f>IF(B28="","",IF(B28='Setup &amp; Summary'!$N$15,INDEX(A!J:J,MATCH(MAX(A!B:B),A!B:B)),I28+H28))</f>
        <v>-9.1181818181818102</v>
      </c>
      <c r="K28" s="23">
        <f t="shared" si="1"/>
        <v>-91.181818181818102</v>
      </c>
      <c r="M28" s="60" t="str">
        <f>IF(B28="","",IF(B28*2='Setup &amp; Summary'!$N$15,"midstation row!",""))</f>
        <v/>
      </c>
    </row>
    <row r="29" spans="1:14" x14ac:dyDescent="0.2">
      <c r="A29" s="69">
        <f t="shared" si="5"/>
        <v>20</v>
      </c>
      <c r="B29" s="57">
        <f>IF('Setup &amp; Summary'!$N$15&gt;A29,A!B28+1,"")</f>
        <v>21</v>
      </c>
      <c r="C29" s="71">
        <v>7.8</v>
      </c>
      <c r="D29" s="72">
        <v>7.6</v>
      </c>
      <c r="E29" s="72">
        <v>7.4</v>
      </c>
      <c r="F29" s="25">
        <f t="shared" si="2"/>
        <v>7.5999999999999988</v>
      </c>
      <c r="G29" s="21">
        <f t="shared" si="3"/>
        <v>2.6999999999999993</v>
      </c>
      <c r="H29" s="25">
        <f t="shared" si="4"/>
        <v>38.333333333333343</v>
      </c>
      <c r="I29" s="68">
        <f>IF(B29="","",IF(B29='Setup &amp; Summary'!$N$15,J29-H29,I30-$N$5))</f>
        <v>-46.184090909090912</v>
      </c>
      <c r="J29" s="22">
        <f>IF(B29="","",IF(B29='Setup &amp; Summary'!$N$15,INDEX(A!J:J,MATCH(MAX(A!B:B),A!B:B)),I29+H29))</f>
        <v>-7.8507575757575694</v>
      </c>
      <c r="K29" s="23">
        <f t="shared" si="1"/>
        <v>-78.507575757575694</v>
      </c>
      <c r="M29" s="60" t="str">
        <f>IF(B29="","",IF(B29*2='Setup &amp; Summary'!$N$15,"midstation row!",""))</f>
        <v/>
      </c>
    </row>
    <row r="30" spans="1:14" x14ac:dyDescent="0.2">
      <c r="A30" s="69">
        <f t="shared" si="5"/>
        <v>21</v>
      </c>
      <c r="B30" s="57">
        <f>IF('Setup &amp; Summary'!$N$15&gt;A30,A!B29+1,"")</f>
        <v>22</v>
      </c>
      <c r="C30" s="71">
        <v>7.3</v>
      </c>
      <c r="D30" s="72">
        <v>7.3</v>
      </c>
      <c r="E30" s="72">
        <v>7.2</v>
      </c>
      <c r="F30" s="25">
        <f t="shared" si="2"/>
        <v>7.2666666666666666</v>
      </c>
      <c r="G30" s="21">
        <f t="shared" si="3"/>
        <v>2.3666666666666671</v>
      </c>
      <c r="H30" s="25">
        <f t="shared" si="4"/>
        <v>40.70000000000001</v>
      </c>
      <c r="I30" s="68">
        <f>IF(B30="","",IF(B30='Setup &amp; Summary'!$N$15,J30-H30,I31-$N$5))</f>
        <v>-47.616666666666674</v>
      </c>
      <c r="J30" s="22">
        <f>IF(B30="","",IF(B30='Setup &amp; Summary'!$N$15,INDEX(A!J:J,MATCH(MAX(A!B:B),A!B:B)),I30+H30))</f>
        <v>-6.916666666666667</v>
      </c>
      <c r="K30" s="23">
        <f t="shared" si="1"/>
        <v>-69.166666666666671</v>
      </c>
      <c r="M30" s="60" t="str">
        <f>IF(B30="","",IF(B30*2='Setup &amp; Summary'!$N$15,"midstation row!",""))</f>
        <v/>
      </c>
    </row>
    <row r="31" spans="1:14" x14ac:dyDescent="0.2">
      <c r="A31" s="69">
        <f t="shared" si="5"/>
        <v>22</v>
      </c>
      <c r="B31" s="57" t="str">
        <f>IF('Setup &amp; Summary'!$N$15&gt;A31,A!B30+1,"")</f>
        <v/>
      </c>
      <c r="C31" s="71"/>
      <c r="D31" s="72"/>
      <c r="E31" s="72"/>
      <c r="F31" s="25" t="str">
        <f t="shared" si="2"/>
        <v/>
      </c>
      <c r="G31" s="21" t="str">
        <f t="shared" si="3"/>
        <v/>
      </c>
      <c r="H31" s="25" t="str">
        <f t="shared" si="4"/>
        <v/>
      </c>
      <c r="I31" s="68" t="str">
        <f>IF(B31="","",IF(B31='Setup &amp; Summary'!$N$15,J31-H31,I32-$N$5))</f>
        <v/>
      </c>
      <c r="J31" s="22" t="str">
        <f>IF(B31="","",IF(B31='Setup &amp; Summary'!$N$15,INDEX(A!J:J,MATCH(MAX(A!B:B),A!B:B)),I31+H31))</f>
        <v/>
      </c>
      <c r="K31" s="23" t="str">
        <f t="shared" si="1"/>
        <v/>
      </c>
      <c r="M31" s="60" t="str">
        <f>IF(B31="","",IF(B31*2='Setup &amp; Summary'!$N$15,"midstation row!",""))</f>
        <v/>
      </c>
    </row>
    <row r="32" spans="1:14" x14ac:dyDescent="0.2">
      <c r="A32" s="69">
        <f t="shared" si="5"/>
        <v>23</v>
      </c>
      <c r="B32" s="57" t="str">
        <f>IF('Setup &amp; Summary'!$N$15&gt;A32,A!B31+1,"")</f>
        <v/>
      </c>
      <c r="C32" s="71"/>
      <c r="D32" s="72"/>
      <c r="E32" s="72"/>
      <c r="F32" s="25" t="str">
        <f t="shared" si="2"/>
        <v/>
      </c>
      <c r="G32" s="21" t="str">
        <f t="shared" si="3"/>
        <v/>
      </c>
      <c r="H32" s="25" t="str">
        <f t="shared" si="4"/>
        <v/>
      </c>
      <c r="I32" s="68" t="str">
        <f>IF(B32="","",IF(B32='Setup &amp; Summary'!$N$15,J32-H32,I33-$N$5))</f>
        <v/>
      </c>
      <c r="J32" s="22" t="str">
        <f>IF(B32="","",IF(B32='Setup &amp; Summary'!$N$15,INDEX(A!J:J,MATCH(MAX(A!B:B),A!B:B)),I32+H32))</f>
        <v/>
      </c>
      <c r="K32" s="23" t="str">
        <f t="shared" si="1"/>
        <v/>
      </c>
      <c r="M32" s="60" t="str">
        <f>IF(B32="","",IF(B32*2='Setup &amp; Summary'!$N$15,"midstation row!",""))</f>
        <v/>
      </c>
    </row>
    <row r="33" spans="1:13" x14ac:dyDescent="0.2">
      <c r="A33" s="69">
        <f t="shared" si="5"/>
        <v>24</v>
      </c>
      <c r="B33" s="57" t="str">
        <f>IF('Setup &amp; Summary'!$N$15&gt;A33,A!B32+1,"")</f>
        <v/>
      </c>
      <c r="C33" s="71"/>
      <c r="D33" s="72"/>
      <c r="E33" s="72"/>
      <c r="F33" s="25" t="str">
        <f t="shared" si="2"/>
        <v/>
      </c>
      <c r="G33" s="21" t="str">
        <f t="shared" si="3"/>
        <v/>
      </c>
      <c r="H33" s="25" t="str">
        <f t="shared" si="4"/>
        <v/>
      </c>
      <c r="I33" s="68" t="str">
        <f>IF(B33="","",IF(B33='Setup &amp; Summary'!$N$15,J33-H33,I34-$N$5))</f>
        <v/>
      </c>
      <c r="J33" s="22" t="str">
        <f>IF(B33="","",IF(B33='Setup &amp; Summary'!$N$15,INDEX(A!J:J,MATCH(MAX(A!B:B),A!B:B)),I33+H33))</f>
        <v/>
      </c>
      <c r="K33" s="23" t="str">
        <f t="shared" si="1"/>
        <v/>
      </c>
      <c r="M33" s="60" t="str">
        <f>IF(B33="","",IF(B33*2='Setup &amp; Summary'!$N$15,"midstation row!",""))</f>
        <v/>
      </c>
    </row>
    <row r="34" spans="1:13" x14ac:dyDescent="0.2">
      <c r="A34" s="69">
        <f t="shared" si="5"/>
        <v>25</v>
      </c>
      <c r="B34" s="57" t="str">
        <f>IF('Setup &amp; Summary'!$N$15&gt;A34,A!B33+1,"")</f>
        <v/>
      </c>
      <c r="C34" s="71"/>
      <c r="D34" s="72"/>
      <c r="E34" s="72"/>
      <c r="F34" s="25" t="str">
        <f t="shared" si="2"/>
        <v/>
      </c>
      <c r="G34" s="21" t="str">
        <f t="shared" si="3"/>
        <v/>
      </c>
      <c r="H34" s="25" t="str">
        <f t="shared" si="4"/>
        <v/>
      </c>
      <c r="I34" s="68" t="str">
        <f>IF(B34="","",IF(B34='Setup &amp; Summary'!$N$15,J34-H34,I35-$N$5))</f>
        <v/>
      </c>
      <c r="J34" s="22" t="str">
        <f>IF(B34="","",IF(B34='Setup &amp; Summary'!$N$15,INDEX(A!J:J,MATCH(MAX(A!B:B),A!B:B)),I34+H34))</f>
        <v/>
      </c>
      <c r="K34" s="23" t="str">
        <f t="shared" si="1"/>
        <v/>
      </c>
      <c r="M34" s="60" t="str">
        <f>IF(B34="","",IF(B34*2='Setup &amp; Summary'!$N$15,"midstation row!",""))</f>
        <v/>
      </c>
    </row>
    <row r="35" spans="1:13" x14ac:dyDescent="0.2">
      <c r="A35" s="69">
        <f t="shared" si="5"/>
        <v>26</v>
      </c>
      <c r="B35" s="57" t="str">
        <f>IF('Setup &amp; Summary'!$N$15&gt;A35,A!B34+1,"")</f>
        <v/>
      </c>
      <c r="C35" s="71"/>
      <c r="D35" s="72"/>
      <c r="E35" s="72"/>
      <c r="F35" s="25" t="str">
        <f t="shared" si="2"/>
        <v/>
      </c>
      <c r="G35" s="21" t="str">
        <f t="shared" si="3"/>
        <v/>
      </c>
      <c r="H35" s="25" t="str">
        <f t="shared" si="4"/>
        <v/>
      </c>
      <c r="I35" s="68" t="str">
        <f>IF(B35="","",IF(B35='Setup &amp; Summary'!$N$15,J35-H35,I36-$N$5))</f>
        <v/>
      </c>
      <c r="J35" s="22" t="str">
        <f>IF(B35="","",IF(B35='Setup &amp; Summary'!$N$15,INDEX(A!J:J,MATCH(MAX(A!B:B),A!B:B)),I35+H35))</f>
        <v/>
      </c>
      <c r="K35" s="23" t="str">
        <f t="shared" si="1"/>
        <v/>
      </c>
      <c r="M35" s="60" t="str">
        <f>IF(B35="","",IF(B35*2='Setup &amp; Summary'!$N$15,"midstation row!",""))</f>
        <v/>
      </c>
    </row>
    <row r="36" spans="1:13" x14ac:dyDescent="0.2">
      <c r="A36" s="69">
        <f t="shared" si="5"/>
        <v>27</v>
      </c>
      <c r="B36" s="57" t="str">
        <f>IF('Setup &amp; Summary'!$N$15&gt;A36,A!B35+1,"")</f>
        <v/>
      </c>
      <c r="C36" s="71"/>
      <c r="D36" s="72"/>
      <c r="E36" s="72"/>
      <c r="F36" s="25" t="str">
        <f t="shared" si="2"/>
        <v/>
      </c>
      <c r="G36" s="21" t="str">
        <f t="shared" si="3"/>
        <v/>
      </c>
      <c r="H36" s="25" t="str">
        <f t="shared" si="4"/>
        <v/>
      </c>
      <c r="I36" s="68" t="str">
        <f>IF(B36="","",IF(B36='Setup &amp; Summary'!$N$15,J36-H36,I37-$N$5))</f>
        <v/>
      </c>
      <c r="J36" s="22" t="str">
        <f>IF(B36="","",IF(B36='Setup &amp; Summary'!$N$15,INDEX(A!J:J,MATCH(MAX(A!B:B),A!B:B)),I36+H36))</f>
        <v/>
      </c>
      <c r="K36" s="23" t="str">
        <f t="shared" si="1"/>
        <v/>
      </c>
      <c r="M36" s="60" t="str">
        <f>IF(B36="","",IF(B36*2='Setup &amp; Summary'!$N$15,"midstation row!",""))</f>
        <v/>
      </c>
    </row>
    <row r="37" spans="1:13" x14ac:dyDescent="0.2">
      <c r="A37" s="69">
        <f t="shared" si="5"/>
        <v>28</v>
      </c>
      <c r="B37" s="57" t="str">
        <f>IF('Setup &amp; Summary'!$N$15&gt;A37,A!B36+1,"")</f>
        <v/>
      </c>
      <c r="C37" s="71"/>
      <c r="D37" s="72"/>
      <c r="E37" s="72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68" t="str">
        <f>IF(B37="","",IF(B37='Setup &amp; Summary'!$N$15,J37-H37,I38-$N$5))</f>
        <v/>
      </c>
      <c r="J37" s="22" t="str">
        <f>IF(B37="","",IF(B37='Setup &amp; Summary'!$N$15,INDEX(A!J:J,MATCH(MAX(A!B:B),A!B:B)),I37+H37))</f>
        <v/>
      </c>
      <c r="K37" s="23" t="str">
        <f t="shared" si="1"/>
        <v/>
      </c>
      <c r="M37" s="60" t="str">
        <f>IF(B37="","",IF(B37*2='Setup &amp; Summary'!$N$15,"midstation row!",""))</f>
        <v/>
      </c>
    </row>
    <row r="38" spans="1:13" x14ac:dyDescent="0.2">
      <c r="A38" s="69">
        <f t="shared" si="5"/>
        <v>29</v>
      </c>
      <c r="B38" s="57" t="str">
        <f>IF('Setup &amp; Summary'!$N$15&gt;A38,A!B37+1,"")</f>
        <v/>
      </c>
      <c r="C38" s="71"/>
      <c r="D38" s="72"/>
      <c r="E38" s="72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68" t="str">
        <f>IF(B38="","",IF(B38='Setup &amp; Summary'!$N$15,J38-H38,I39-$N$5))</f>
        <v/>
      </c>
      <c r="J38" s="22" t="str">
        <f>IF(B38="","",IF(B38='Setup &amp; Summary'!$N$15,INDEX(A!J:J,MATCH(MAX(A!B:B),A!B:B)),I38+H38))</f>
        <v/>
      </c>
      <c r="K38" s="23" t="str">
        <f t="shared" si="1"/>
        <v/>
      </c>
      <c r="M38" s="60" t="str">
        <f>IF(B38="","",IF(B38*2='Setup &amp; Summary'!$N$15,"midstation row!",""))</f>
        <v/>
      </c>
    </row>
    <row r="39" spans="1:13" x14ac:dyDescent="0.2">
      <c r="A39" s="69">
        <f t="shared" si="5"/>
        <v>30</v>
      </c>
      <c r="B39" s="57" t="str">
        <f>IF('Setup &amp; Summary'!$N$15&gt;A39,A!B38+1,"")</f>
        <v/>
      </c>
      <c r="C39" s="71"/>
      <c r="D39" s="72"/>
      <c r="E39" s="72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68" t="str">
        <f>IF(B39="","",IF(B39='Setup &amp; Summary'!$N$15,J39-H39,I40-$N$5))</f>
        <v/>
      </c>
      <c r="J39" s="22" t="str">
        <f>IF(B39="","",IF(B39='Setup &amp; Summary'!$N$15,INDEX(A!J:J,MATCH(MAX(A!B:B),A!B:B)),I39+H39))</f>
        <v/>
      </c>
      <c r="K39" s="23" t="str">
        <f t="shared" si="1"/>
        <v/>
      </c>
      <c r="M39" s="60" t="str">
        <f>IF(B39="","",IF(B39*2='Setup &amp; Summary'!$N$15,"midstation row!",""))</f>
        <v/>
      </c>
    </row>
    <row r="40" spans="1:13" x14ac:dyDescent="0.2">
      <c r="A40" s="69">
        <f t="shared" si="5"/>
        <v>31</v>
      </c>
      <c r="B40" s="57" t="str">
        <f>IF('Setup &amp; Summary'!$N$15&gt;A40,A!B39+1,"")</f>
        <v/>
      </c>
      <c r="C40" s="71"/>
      <c r="D40" s="72"/>
      <c r="E40" s="72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68" t="str">
        <f>IF(B40="","",IF(B40='Setup &amp; Summary'!$N$15,J40-H40,I41-$N$5))</f>
        <v/>
      </c>
      <c r="J40" s="22" t="str">
        <f>IF(B40="","",IF(B40='Setup &amp; Summary'!$N$15,INDEX(A!J:J,MATCH(MAX(A!B:B),A!B:B)),I40+H40))</f>
        <v/>
      </c>
      <c r="K40" s="23" t="str">
        <f t="shared" si="1"/>
        <v/>
      </c>
      <c r="M40" s="60" t="str">
        <f>IF(B40="","",IF(B40*2='Setup &amp; Summary'!$N$15,"midstation row!",""))</f>
        <v/>
      </c>
    </row>
    <row r="41" spans="1:13" x14ac:dyDescent="0.2">
      <c r="A41" s="69">
        <f t="shared" si="5"/>
        <v>32</v>
      </c>
      <c r="B41" s="57" t="str">
        <f>IF('Setup &amp; Summary'!$N$15&gt;A41,A!B40+1,"")</f>
        <v/>
      </c>
      <c r="C41" s="71"/>
      <c r="D41" s="72"/>
      <c r="E41" s="72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68" t="str">
        <f>IF(B41="","",IF(B41='Setup &amp; Summary'!$N$15,J41-H41,I42-$N$5))</f>
        <v/>
      </c>
      <c r="J41" s="22" t="str">
        <f>IF(B41="","",IF(B41='Setup &amp; Summary'!$N$15,INDEX(A!J:J,MATCH(MAX(A!B:B),A!B:B)),I41+H41))</f>
        <v/>
      </c>
      <c r="K41" s="23" t="str">
        <f t="shared" si="1"/>
        <v/>
      </c>
      <c r="M41" s="60" t="str">
        <f>IF(B41="","",IF(B41*2='Setup &amp; Summary'!$N$15,"midstation row!",""))</f>
        <v/>
      </c>
    </row>
    <row r="42" spans="1:13" x14ac:dyDescent="0.2">
      <c r="A42" s="69">
        <f t="shared" si="5"/>
        <v>33</v>
      </c>
      <c r="B42" s="57" t="str">
        <f>IF('Setup &amp; Summary'!$N$15&gt;A42,A!B41+1,"")</f>
        <v/>
      </c>
      <c r="C42" s="71"/>
      <c r="D42" s="72"/>
      <c r="E42" s="72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68" t="str">
        <f>IF(B42="","",IF(B42='Setup &amp; Summary'!$N$15,J42-H42,I43-$N$5))</f>
        <v/>
      </c>
      <c r="J42" s="22" t="str">
        <f>IF(B42="","",IF(B42='Setup &amp; Summary'!$N$15,INDEX(A!J:J,MATCH(MAX(A!B:B),A!B:B)),I42+H42))</f>
        <v/>
      </c>
      <c r="K42" s="23" t="str">
        <f t="shared" si="1"/>
        <v/>
      </c>
      <c r="M42" s="60" t="str">
        <f>IF(B42="","",IF(B42*2='Setup &amp; Summary'!$N$15,"midstation row!",""))</f>
        <v/>
      </c>
    </row>
    <row r="43" spans="1:13" x14ac:dyDescent="0.2">
      <c r="A43" s="69">
        <f t="shared" si="5"/>
        <v>34</v>
      </c>
      <c r="B43" s="57" t="str">
        <f>IF('Setup &amp; Summary'!$N$15&gt;A43,A!B42+1,"")</f>
        <v/>
      </c>
      <c r="C43" s="71"/>
      <c r="D43" s="72"/>
      <c r="E43" s="72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68" t="str">
        <f>IF(B43="","",IF(B43='Setup &amp; Summary'!$N$15,J43-H43,I44-$N$5))</f>
        <v/>
      </c>
      <c r="J43" s="22" t="str">
        <f>IF(B43="","",IF(B43='Setup &amp; Summary'!$N$15,INDEX(A!J:J,MATCH(MAX(A!B:B),A!B:B)),I43+H43))</f>
        <v/>
      </c>
      <c r="K43" s="23" t="str">
        <f t="shared" si="1"/>
        <v/>
      </c>
      <c r="M43" s="60" t="str">
        <f>IF(B43="","",IF(B43*2='Setup &amp; Summary'!$N$15,"midstation row!",""))</f>
        <v/>
      </c>
    </row>
    <row r="44" spans="1:13" x14ac:dyDescent="0.2">
      <c r="A44" s="69">
        <f t="shared" si="5"/>
        <v>35</v>
      </c>
      <c r="B44" s="57" t="str">
        <f>IF('Setup &amp; Summary'!$N$15&gt;A44,A!B43+1,"")</f>
        <v/>
      </c>
      <c r="C44" s="71"/>
      <c r="D44" s="72"/>
      <c r="E44" s="72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68" t="str">
        <f>IF(B44="","",IF(B44='Setup &amp; Summary'!$N$15,J44-H44,I45-$N$5))</f>
        <v/>
      </c>
      <c r="J44" s="22" t="str">
        <f>IF(B44="","",IF(B44='Setup &amp; Summary'!$N$15,INDEX(A!J:J,MATCH(MAX(A!B:B),A!B:B)),I44+H44))</f>
        <v/>
      </c>
      <c r="K44" s="23" t="str">
        <f t="shared" si="1"/>
        <v/>
      </c>
      <c r="M44" s="60" t="str">
        <f>IF(B44="","",IF(B44*2='Setup &amp; Summary'!$N$15,"midstation row!",""))</f>
        <v/>
      </c>
    </row>
    <row r="45" spans="1:13" x14ac:dyDescent="0.2">
      <c r="A45" s="69">
        <f t="shared" si="5"/>
        <v>36</v>
      </c>
      <c r="B45" s="57" t="str">
        <f>IF('Setup &amp; Summary'!$N$15&gt;A45,A!B44+1,"")</f>
        <v/>
      </c>
      <c r="C45" s="71"/>
      <c r="D45" s="72"/>
      <c r="E45" s="72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68" t="str">
        <f>IF(B45="","",IF(B45='Setup &amp; Summary'!$N$15,J45-H45,I46-$N$5))</f>
        <v/>
      </c>
      <c r="J45" s="22" t="str">
        <f>IF(B45="","",IF(B45='Setup &amp; Summary'!$N$15,INDEX(A!J:J,MATCH(MAX(A!B:B),A!B:B)),I45+H45))</f>
        <v/>
      </c>
      <c r="K45" s="23" t="str">
        <f t="shared" si="1"/>
        <v/>
      </c>
      <c r="M45" s="60" t="str">
        <f>IF(B45="","",IF(B45*2='Setup &amp; Summary'!$N$15,"midstation row!",""))</f>
        <v/>
      </c>
    </row>
    <row r="46" spans="1:13" x14ac:dyDescent="0.2">
      <c r="A46" s="69">
        <f t="shared" si="5"/>
        <v>37</v>
      </c>
      <c r="B46" s="57" t="str">
        <f>IF('Setup &amp; Summary'!$N$15&gt;A46,A!B45+1,"")</f>
        <v/>
      </c>
      <c r="C46" s="71"/>
      <c r="D46" s="72"/>
      <c r="E46" s="72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68" t="str">
        <f>IF(B46="","",IF(B46='Setup &amp; Summary'!$N$15,J46-H46,I47-$N$5))</f>
        <v/>
      </c>
      <c r="J46" s="22" t="str">
        <f>IF(B46="","",IF(B46='Setup &amp; Summary'!$N$15,INDEX(A!J:J,MATCH(MAX(A!B:B),A!B:B)),I46+H46))</f>
        <v/>
      </c>
      <c r="K46" s="23" t="str">
        <f t="shared" si="1"/>
        <v/>
      </c>
      <c r="M46" s="60" t="str">
        <f>IF(B46="","",IF(B46*2='Setup &amp; Summary'!$N$15,"midstation row!",""))</f>
        <v/>
      </c>
    </row>
    <row r="47" spans="1:13" x14ac:dyDescent="0.2">
      <c r="A47" s="69">
        <f t="shared" si="5"/>
        <v>38</v>
      </c>
      <c r="B47" s="57" t="str">
        <f>IF('Setup &amp; Summary'!$N$15&gt;A47,A!B46+1,"")</f>
        <v/>
      </c>
      <c r="C47" s="71"/>
      <c r="D47" s="72"/>
      <c r="E47" s="72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68" t="str">
        <f>IF(B47="","",IF(B47='Setup &amp; Summary'!$N$15,J47-H47,I48-$N$5))</f>
        <v/>
      </c>
      <c r="J47" s="22" t="str">
        <f>IF(B47="","",IF(B47='Setup &amp; Summary'!$N$15,INDEX(A!J:J,MATCH(MAX(A!B:B),A!B:B)),I47+H47))</f>
        <v/>
      </c>
      <c r="K47" s="23" t="str">
        <f t="shared" si="1"/>
        <v/>
      </c>
      <c r="M47" s="60" t="str">
        <f>IF(B47="","",IF(B47*2='Setup &amp; Summary'!$N$15,"midstation row!",""))</f>
        <v/>
      </c>
    </row>
    <row r="48" spans="1:13" x14ac:dyDescent="0.2">
      <c r="A48" s="69">
        <f t="shared" si="5"/>
        <v>39</v>
      </c>
      <c r="B48" s="57" t="str">
        <f>IF('Setup &amp; Summary'!$N$15&gt;A48,A!B47+1,"")</f>
        <v/>
      </c>
      <c r="C48" s="71"/>
      <c r="D48" s="72"/>
      <c r="E48" s="72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68" t="str">
        <f>IF(B48="","",IF(B48='Setup &amp; Summary'!$N$15,J48-H48,I49-$N$5))</f>
        <v/>
      </c>
      <c r="J48" s="22" t="str">
        <f>IF(B48="","",IF(B48='Setup &amp; Summary'!$N$15,INDEX(A!J:J,MATCH(MAX(A!B:B),A!B:B)),I48+H48))</f>
        <v/>
      </c>
      <c r="K48" s="23" t="str">
        <f t="shared" si="1"/>
        <v/>
      </c>
      <c r="M48" s="60" t="str">
        <f>IF(B48="","",IF(B48*2='Setup &amp; Summary'!$N$15,"midstation row!",""))</f>
        <v/>
      </c>
    </row>
    <row r="49" spans="1:13" x14ac:dyDescent="0.2">
      <c r="A49" s="69">
        <f t="shared" si="5"/>
        <v>40</v>
      </c>
      <c r="B49" s="57" t="str">
        <f>IF('Setup &amp; Summary'!$N$15&gt;A49,A!B48+1,"")</f>
        <v/>
      </c>
      <c r="C49" s="71"/>
      <c r="D49" s="72"/>
      <c r="E49" s="72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68" t="str">
        <f>IF(B49="","",IF(B49='Setup &amp; Summary'!$N$15,J49-H49,I50-$N$5))</f>
        <v/>
      </c>
      <c r="J49" s="22" t="str">
        <f>IF(B49="","",IF(B49='Setup &amp; Summary'!$N$15,INDEX(A!J:J,MATCH(MAX(A!B:B),A!B:B)),I49+H49))</f>
        <v/>
      </c>
      <c r="K49" s="23" t="str">
        <f t="shared" si="1"/>
        <v/>
      </c>
      <c r="M49" s="60" t="str">
        <f>IF(B49="","",IF(B49*2='Setup &amp; Summary'!$N$15,"midstation row!",""))</f>
        <v/>
      </c>
    </row>
    <row r="50" spans="1:13" x14ac:dyDescent="0.2">
      <c r="A50" s="69">
        <f t="shared" si="5"/>
        <v>41</v>
      </c>
      <c r="B50" s="57" t="str">
        <f>IF('Setup &amp; Summary'!$N$15&gt;A50,A!B49+1,"")</f>
        <v/>
      </c>
      <c r="C50" s="71"/>
      <c r="D50" s="72"/>
      <c r="E50" s="72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68" t="str">
        <f>IF(B50="","",IF(B50='Setup &amp; Summary'!$N$15,J50-H50,I51-$N$5))</f>
        <v/>
      </c>
      <c r="J50" s="22" t="str">
        <f>IF(B50="","",IF(B50='Setup &amp; Summary'!$N$15,INDEX(A!J:J,MATCH(MAX(A!B:B),A!B:B)),I50+H50))</f>
        <v/>
      </c>
      <c r="K50" s="23" t="str">
        <f t="shared" si="1"/>
        <v/>
      </c>
      <c r="M50" s="60" t="str">
        <f>IF(B50="","",IF(B50*2='Setup &amp; Summary'!$N$15,"midstation row!",""))</f>
        <v/>
      </c>
    </row>
    <row r="51" spans="1:13" x14ac:dyDescent="0.2">
      <c r="A51" s="69">
        <f t="shared" si="5"/>
        <v>42</v>
      </c>
      <c r="B51" s="57" t="str">
        <f>IF('Setup &amp; Summary'!$N$15&gt;A51,A!B50+1,"")</f>
        <v/>
      </c>
      <c r="C51" s="71"/>
      <c r="D51" s="72"/>
      <c r="E51" s="72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68" t="str">
        <f>IF(B51="","",IF(B51='Setup &amp; Summary'!$N$15,J51-H51,I52-$N$5))</f>
        <v/>
      </c>
      <c r="J51" s="22" t="str">
        <f>IF(B51="","",IF(B51='Setup &amp; Summary'!$N$15,INDEX(A!J:J,MATCH(MAX(A!B:B),A!B:B)),I51+H51))</f>
        <v/>
      </c>
      <c r="K51" s="23" t="str">
        <f t="shared" si="1"/>
        <v/>
      </c>
      <c r="M51" s="60" t="str">
        <f>IF(B51="","",IF(B51*2='Setup &amp; Summary'!$N$15,"midstation row!",""))</f>
        <v/>
      </c>
    </row>
    <row r="52" spans="1:13" x14ac:dyDescent="0.2">
      <c r="A52" s="69">
        <f t="shared" si="5"/>
        <v>43</v>
      </c>
      <c r="B52" s="57" t="str">
        <f>IF('Setup &amp; Summary'!$N$15&gt;A52,A!B51+1,"")</f>
        <v/>
      </c>
      <c r="C52" s="71"/>
      <c r="D52" s="72"/>
      <c r="E52" s="72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68" t="str">
        <f>IF(B52="","",IF(B52='Setup &amp; Summary'!$N$15,J52-H52,I53-$N$5))</f>
        <v/>
      </c>
      <c r="J52" s="22" t="str">
        <f>IF(B52="","",IF(B52='Setup &amp; Summary'!$N$15,INDEX(A!J:J,MATCH(MAX(A!B:B),A!B:B)),I52+H52))</f>
        <v/>
      </c>
      <c r="K52" s="23" t="str">
        <f t="shared" si="1"/>
        <v/>
      </c>
      <c r="M52" s="60" t="str">
        <f>IF(B52="","",IF(B52*2='Setup &amp; Summary'!$N$15,"midstation row!",""))</f>
        <v/>
      </c>
    </row>
    <row r="53" spans="1:13" x14ac:dyDescent="0.2">
      <c r="A53" s="69">
        <f t="shared" si="5"/>
        <v>44</v>
      </c>
      <c r="B53" s="57" t="str">
        <f>IF('Setup &amp; Summary'!$N$15&gt;A53,A!B52+1,"")</f>
        <v/>
      </c>
      <c r="C53" s="71"/>
      <c r="D53" s="72"/>
      <c r="E53" s="72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68" t="str">
        <f>IF(B53="","",IF(B53='Setup &amp; Summary'!$N$15,J53-H53,I54-$N$5))</f>
        <v/>
      </c>
      <c r="J53" s="22" t="str">
        <f>IF(B53="","",IF(B53='Setup &amp; Summary'!$N$15,INDEX(A!J:J,MATCH(MAX(A!B:B),A!B:B)),I53+H53))</f>
        <v/>
      </c>
      <c r="K53" s="23" t="str">
        <f t="shared" si="1"/>
        <v/>
      </c>
      <c r="M53" s="60" t="str">
        <f>IF(B53="","",IF(B53*2='Setup &amp; Summary'!$N$15,"midstation row!",""))</f>
        <v/>
      </c>
    </row>
    <row r="54" spans="1:13" x14ac:dyDescent="0.2">
      <c r="A54" s="69">
        <f t="shared" si="5"/>
        <v>45</v>
      </c>
      <c r="B54" s="57" t="str">
        <f>IF('Setup &amp; Summary'!$N$15&gt;A54,A!B53+1,"")</f>
        <v/>
      </c>
      <c r="C54" s="71"/>
      <c r="D54" s="72"/>
      <c r="E54" s="72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68" t="str">
        <f>IF(B54="","",IF(B54='Setup &amp; Summary'!$N$15,J54-H54,I55-$N$5))</f>
        <v/>
      </c>
      <c r="J54" s="22" t="str">
        <f>IF(B54="","",IF(B54='Setup &amp; Summary'!$N$15,INDEX(A!J:J,MATCH(MAX(A!B:B),A!B:B)),I54+H54))</f>
        <v/>
      </c>
      <c r="K54" s="23" t="str">
        <f t="shared" si="1"/>
        <v/>
      </c>
      <c r="M54" s="60" t="str">
        <f>IF(B54="","",IF(B54*2='Setup &amp; Summary'!$N$15,"midstation row!",""))</f>
        <v/>
      </c>
    </row>
    <row r="55" spans="1:13" x14ac:dyDescent="0.2">
      <c r="A55" s="69">
        <f t="shared" si="5"/>
        <v>46</v>
      </c>
      <c r="B55" s="57" t="str">
        <f>IF('Setup &amp; Summary'!$N$15&gt;A55,A!B54+1,"")</f>
        <v/>
      </c>
      <c r="C55" s="71"/>
      <c r="D55" s="72"/>
      <c r="E55" s="72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68" t="str">
        <f>IF(B55="","",IF(B55='Setup &amp; Summary'!$N$15,J55-H55,I56-$N$5))</f>
        <v/>
      </c>
      <c r="J55" s="22" t="str">
        <f>IF(B55="","",IF(B55='Setup &amp; Summary'!$N$15,INDEX(A!J:J,MATCH(MAX(A!B:B),A!B:B)),I55+H55))</f>
        <v/>
      </c>
      <c r="K55" s="23" t="str">
        <f t="shared" si="1"/>
        <v/>
      </c>
      <c r="M55" s="60" t="str">
        <f>IF(B55="","",IF(B55*2='Setup &amp; Summary'!$N$15,"midstation row!",""))</f>
        <v/>
      </c>
    </row>
    <row r="56" spans="1:13" x14ac:dyDescent="0.2">
      <c r="A56" s="69">
        <f t="shared" si="5"/>
        <v>47</v>
      </c>
      <c r="B56" s="57" t="str">
        <f>IF('Setup &amp; Summary'!$N$15&gt;A56,A!B55+1,"")</f>
        <v/>
      </c>
      <c r="C56" s="71"/>
      <c r="D56" s="72"/>
      <c r="E56" s="72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68" t="str">
        <f>IF(B56="","",IF(B56='Setup &amp; Summary'!$N$15,J56-H56,I57-$N$5))</f>
        <v/>
      </c>
      <c r="J56" s="22" t="str">
        <f>IF(B56="","",IF(B56='Setup &amp; Summary'!$N$15,INDEX(A!J:J,MATCH(MAX(A!B:B),A!B:B)),I56+H56))</f>
        <v/>
      </c>
      <c r="K56" s="23" t="str">
        <f t="shared" si="1"/>
        <v/>
      </c>
      <c r="M56" s="60" t="str">
        <f>IF(B56="","",IF(B56*2='Setup &amp; Summary'!$N$15,"midstation row!",""))</f>
        <v/>
      </c>
    </row>
    <row r="57" spans="1:13" x14ac:dyDescent="0.2">
      <c r="A57" s="69">
        <f t="shared" si="5"/>
        <v>48</v>
      </c>
      <c r="B57" s="57" t="str">
        <f>IF('Setup &amp; Summary'!$N$15&gt;A57,A!B56+1,"")</f>
        <v/>
      </c>
      <c r="C57" s="71"/>
      <c r="D57" s="72"/>
      <c r="E57" s="72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68" t="str">
        <f>IF(B57="","",IF(B57='Setup &amp; Summary'!$N$15,J57-H57,I58-$N$5))</f>
        <v/>
      </c>
      <c r="J57" s="22" t="str">
        <f>IF(B57="","",IF(B57='Setup &amp; Summary'!$N$15,INDEX(A!J:J,MATCH(MAX(A!B:B),A!B:B)),I57+H57))</f>
        <v/>
      </c>
      <c r="K57" s="23" t="str">
        <f t="shared" si="1"/>
        <v/>
      </c>
      <c r="M57" s="60" t="str">
        <f>IF(B57="","",IF(B57*2='Setup &amp; Summary'!$N$15,"midstation row!",""))</f>
        <v/>
      </c>
    </row>
    <row r="58" spans="1:13" x14ac:dyDescent="0.2">
      <c r="A58" s="69">
        <f t="shared" si="5"/>
        <v>49</v>
      </c>
      <c r="B58" s="57" t="str">
        <f>IF('Setup &amp; Summary'!$N$15&gt;A58,A!B57+1,"")</f>
        <v/>
      </c>
      <c r="C58" s="71"/>
      <c r="D58" s="72"/>
      <c r="E58" s="72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68" t="str">
        <f>IF(B58="","",IF(B58='Setup &amp; Summary'!$N$15,J58-H58,I59-$N$5))</f>
        <v/>
      </c>
      <c r="J58" s="22" t="str">
        <f>IF(B58="","",IF(B58='Setup &amp; Summary'!$N$15,INDEX(A!J:J,MATCH(MAX(A!B:B),A!B:B)),I58+H58))</f>
        <v/>
      </c>
      <c r="K58" s="23" t="str">
        <f t="shared" si="1"/>
        <v/>
      </c>
      <c r="M58" s="60" t="str">
        <f>IF(B58="","",IF(B58*2='Setup &amp; Summary'!$N$15,"midstation row!",""))</f>
        <v/>
      </c>
    </row>
    <row r="59" spans="1:13" x14ac:dyDescent="0.2">
      <c r="A59" s="69">
        <f t="shared" si="5"/>
        <v>50</v>
      </c>
      <c r="B59" s="57" t="str">
        <f>IF('Setup &amp; Summary'!$N$15&gt;A59,A!B58+1,"")</f>
        <v/>
      </c>
      <c r="C59" s="71"/>
      <c r="D59" s="72"/>
      <c r="E59" s="72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68" t="str">
        <f>IF(B59="","",IF(B59='Setup &amp; Summary'!$N$15,J59-H59,I60-$N$5))</f>
        <v/>
      </c>
      <c r="J59" s="22" t="str">
        <f>IF(B59="","",IF(B59='Setup &amp; Summary'!$N$15,INDEX(A!J:J,MATCH(MAX(A!B:B),A!B:B)),I59+H59))</f>
        <v/>
      </c>
      <c r="K59" s="23" t="str">
        <f t="shared" si="1"/>
        <v/>
      </c>
      <c r="M59" s="60" t="str">
        <f>IF(B59="","",IF(B59*2='Setup &amp; Summary'!$N$15,"midstation row!",""))</f>
        <v/>
      </c>
    </row>
    <row r="60" spans="1:13" x14ac:dyDescent="0.2">
      <c r="A60" s="69">
        <f t="shared" si="5"/>
        <v>51</v>
      </c>
      <c r="B60" s="57" t="str">
        <f>IF('Setup &amp; Summary'!$N$15&gt;A60,A!B59+1,"")</f>
        <v/>
      </c>
      <c r="C60" s="71"/>
      <c r="D60" s="72"/>
      <c r="E60" s="72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68" t="str">
        <f>IF(B60="","",IF(B60='Setup &amp; Summary'!$N$15,J60-H60,I61-$N$5))</f>
        <v/>
      </c>
      <c r="J60" s="22" t="str">
        <f>IF(B60="","",IF(B60='Setup &amp; Summary'!$N$15,INDEX(A!J:J,MATCH(MAX(A!B:B),A!B:B)),I60+H60))</f>
        <v/>
      </c>
      <c r="K60" s="23" t="str">
        <f t="shared" si="1"/>
        <v/>
      </c>
      <c r="M60" s="60" t="str">
        <f>IF(B60="","",IF(B60*2='Setup &amp; Summary'!$N$15,"midstation row!",""))</f>
        <v/>
      </c>
    </row>
    <row r="61" spans="1:13" x14ac:dyDescent="0.2">
      <c r="A61" s="69">
        <f t="shared" si="5"/>
        <v>52</v>
      </c>
      <c r="B61" s="57" t="str">
        <f>IF('Setup &amp; Summary'!$N$15&gt;A61,A!B60+1,"")</f>
        <v/>
      </c>
      <c r="C61" s="71"/>
      <c r="D61" s="72"/>
      <c r="E61" s="72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68" t="str">
        <f>IF(B61="","",IF(B61='Setup &amp; Summary'!$N$15,J61-H61,I62-$N$5))</f>
        <v/>
      </c>
      <c r="J61" s="22" t="str">
        <f>IF(B61="","",IF(B61='Setup &amp; Summary'!$N$15,INDEX(A!J:J,MATCH(MAX(A!B:B),A!B:B)),I61+H61))</f>
        <v/>
      </c>
      <c r="K61" s="23" t="str">
        <f t="shared" si="1"/>
        <v/>
      </c>
      <c r="M61" s="60" t="str">
        <f>IF(B61="","",IF(B61*2='Setup &amp; Summary'!$N$15,"midstation row!",""))</f>
        <v/>
      </c>
    </row>
    <row r="62" spans="1:13" x14ac:dyDescent="0.2">
      <c r="A62" s="69">
        <f t="shared" si="5"/>
        <v>53</v>
      </c>
      <c r="B62" s="57" t="str">
        <f>IF('Setup &amp; Summary'!$N$15&gt;A62,A!B61+1,"")</f>
        <v/>
      </c>
      <c r="C62" s="71"/>
      <c r="D62" s="72"/>
      <c r="E62" s="72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68" t="str">
        <f>IF(B62="","",IF(B62='Setup &amp; Summary'!$N$15,J62-H62,I63-$N$5))</f>
        <v/>
      </c>
      <c r="J62" s="22" t="str">
        <f>IF(B62="","",IF(B62='Setup &amp; Summary'!$N$15,INDEX(A!J:J,MATCH(MAX(A!B:B),A!B:B)),I62+H62))</f>
        <v/>
      </c>
      <c r="K62" s="23" t="str">
        <f t="shared" si="1"/>
        <v/>
      </c>
      <c r="M62" s="60" t="str">
        <f>IF(B62="","",IF(B62*2='Setup &amp; Summary'!$N$15,"midstation row!",""))</f>
        <v/>
      </c>
    </row>
    <row r="63" spans="1:13" x14ac:dyDescent="0.2">
      <c r="A63" s="69">
        <f t="shared" si="5"/>
        <v>54</v>
      </c>
      <c r="B63" s="57" t="str">
        <f>IF('Setup &amp; Summary'!$N$15&gt;A63,A!B62+1,"")</f>
        <v/>
      </c>
      <c r="C63" s="71"/>
      <c r="D63" s="72"/>
      <c r="E63" s="72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68" t="str">
        <f>IF(B63="","",IF(B63='Setup &amp; Summary'!$N$15,J63-H63,I64-$N$5))</f>
        <v/>
      </c>
      <c r="J63" s="22" t="str">
        <f>IF(B63="","",IF(B63='Setup &amp; Summary'!$N$15,INDEX(A!J:J,MATCH(MAX(A!B:B),A!B:B)),I63+H63))</f>
        <v/>
      </c>
      <c r="K63" s="23" t="str">
        <f t="shared" si="1"/>
        <v/>
      </c>
      <c r="M63" s="60" t="str">
        <f>IF(B63="","",IF(B63*2='Setup &amp; Summary'!$N$15,"midstation row!",""))</f>
        <v/>
      </c>
    </row>
    <row r="64" spans="1:13" x14ac:dyDescent="0.2">
      <c r="A64" s="69">
        <f t="shared" si="5"/>
        <v>55</v>
      </c>
      <c r="B64" s="57" t="str">
        <f>IF('Setup &amp; Summary'!$N$15&gt;A64,A!B63+1,"")</f>
        <v/>
      </c>
      <c r="C64" s="71"/>
      <c r="D64" s="72"/>
      <c r="E64" s="72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68" t="str">
        <f>IF(B64="","",IF(B64='Setup &amp; Summary'!$N$15,J64-H64,I65-$N$5))</f>
        <v/>
      </c>
      <c r="J64" s="22" t="str">
        <f>IF(B64="","",IF(B64='Setup &amp; Summary'!$N$15,INDEX(A!J:J,MATCH(MAX(A!B:B),A!B:B)),I64+H64))</f>
        <v/>
      </c>
      <c r="K64" s="23" t="str">
        <f t="shared" si="1"/>
        <v/>
      </c>
      <c r="M64" s="60" t="str">
        <f>IF(B64="","",IF(B64*2='Setup &amp; Summary'!$N$15,"midstation row!",""))</f>
        <v/>
      </c>
    </row>
    <row r="65" spans="1:13" x14ac:dyDescent="0.2">
      <c r="A65" s="69">
        <f t="shared" si="5"/>
        <v>56</v>
      </c>
      <c r="B65" s="57" t="str">
        <f>IF('Setup &amp; Summary'!$N$15&gt;A65,A!B64+1,"")</f>
        <v/>
      </c>
      <c r="C65" s="71"/>
      <c r="D65" s="72"/>
      <c r="E65" s="72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68" t="str">
        <f>IF(B65="","",IF(B65='Setup &amp; Summary'!$N$15,J65-H65,I66-$N$5))</f>
        <v/>
      </c>
      <c r="J65" s="22" t="str">
        <f>IF(B65="","",IF(B65='Setup &amp; Summary'!$N$15,INDEX(A!J:J,MATCH(MAX(A!B:B),A!B:B)),I65+H65))</f>
        <v/>
      </c>
      <c r="K65" s="23" t="str">
        <f t="shared" si="1"/>
        <v/>
      </c>
      <c r="M65" s="60" t="str">
        <f>IF(B65="","",IF(B65*2='Setup &amp; Summary'!$N$15,"midstation row!",""))</f>
        <v/>
      </c>
    </row>
    <row r="66" spans="1:13" x14ac:dyDescent="0.2">
      <c r="A66" s="69">
        <f t="shared" si="5"/>
        <v>57</v>
      </c>
      <c r="B66" s="57" t="str">
        <f>IF('Setup &amp; Summary'!$N$15&gt;A66,A!B65+1,"")</f>
        <v/>
      </c>
      <c r="C66" s="71"/>
      <c r="D66" s="72"/>
      <c r="E66" s="72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68" t="str">
        <f>IF(B66="","",IF(B66='Setup &amp; Summary'!$N$15,J66-H66,I67-$N$5))</f>
        <v/>
      </c>
      <c r="J66" s="22" t="str">
        <f>IF(B66="","",IF(B66='Setup &amp; Summary'!$N$15,INDEX(A!J:J,MATCH(MAX(A!B:B),A!B:B)),I66+H66))</f>
        <v/>
      </c>
      <c r="K66" s="23" t="str">
        <f t="shared" si="1"/>
        <v/>
      </c>
      <c r="M66" s="60" t="str">
        <f>IF(B66="","",IF(B66*2='Setup &amp; Summary'!$N$15,"midstation row!",""))</f>
        <v/>
      </c>
    </row>
    <row r="67" spans="1:13" x14ac:dyDescent="0.2">
      <c r="A67" s="69">
        <f t="shared" si="5"/>
        <v>58</v>
      </c>
      <c r="B67" s="57" t="str">
        <f>IF('Setup &amp; Summary'!$N$15&gt;A67,A!B66+1,"")</f>
        <v/>
      </c>
      <c r="C67" s="71"/>
      <c r="D67" s="72"/>
      <c r="E67" s="72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68" t="str">
        <f>IF(B67="","",IF(B67='Setup &amp; Summary'!$N$15,J67-H67,I68-$N$5))</f>
        <v/>
      </c>
      <c r="J67" s="22" t="str">
        <f>IF(B67="","",IF(B67='Setup &amp; Summary'!$N$15,INDEX(A!J:J,MATCH(MAX(A!B:B),A!B:B)),I67+H67))</f>
        <v/>
      </c>
      <c r="K67" s="23" t="str">
        <f t="shared" si="1"/>
        <v/>
      </c>
      <c r="M67" s="60" t="str">
        <f>IF(B67="","",IF(B67*2='Setup &amp; Summary'!$N$15,"midstation row!",""))</f>
        <v/>
      </c>
    </row>
    <row r="68" spans="1:13" x14ac:dyDescent="0.2">
      <c r="A68" s="69">
        <f t="shared" si="5"/>
        <v>59</v>
      </c>
      <c r="B68" s="57" t="str">
        <f>IF('Setup &amp; Summary'!$N$15&gt;A68,A!B67+1,"")</f>
        <v/>
      </c>
      <c r="C68" s="71"/>
      <c r="D68" s="72"/>
      <c r="E68" s="72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68" t="str">
        <f>IF(B68="","",IF(B68='Setup &amp; Summary'!$N$15,J68-H68,I69-$N$5))</f>
        <v/>
      </c>
      <c r="J68" s="22" t="str">
        <f>IF(B68="","",IF(B68='Setup &amp; Summary'!$N$15,INDEX(A!J:J,MATCH(MAX(A!B:B),A!B:B)),I68+H68))</f>
        <v/>
      </c>
      <c r="K68" s="23" t="str">
        <f t="shared" si="1"/>
        <v/>
      </c>
      <c r="M68" s="60" t="str">
        <f>IF(B68="","",IF(B68*2='Setup &amp; Summary'!$N$15,"midstation row!",""))</f>
        <v/>
      </c>
    </row>
    <row r="69" spans="1:13" x14ac:dyDescent="0.2">
      <c r="A69" s="69">
        <f t="shared" si="5"/>
        <v>60</v>
      </c>
      <c r="B69" s="57" t="str">
        <f>IF('Setup &amp; Summary'!$N$15&gt;A69,A!B68+1,"")</f>
        <v/>
      </c>
      <c r="C69" s="71"/>
      <c r="D69" s="72"/>
      <c r="E69" s="72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68" t="str">
        <f>IF(B69="","",IF(B69='Setup &amp; Summary'!$N$15,J69-H69,I70-$N$5))</f>
        <v/>
      </c>
      <c r="J69" s="22" t="str">
        <f>IF(B69="","",IF(B69='Setup &amp; Summary'!$N$15,INDEX(A!J:J,MATCH(MAX(A!B:B),A!B:B)),I69+H69))</f>
        <v/>
      </c>
      <c r="K69" s="23" t="str">
        <f t="shared" si="1"/>
        <v/>
      </c>
      <c r="M69" s="60" t="str">
        <f>IF(B69="","",IF(B69*2='Setup &amp; Summary'!$N$15,"midstation row!",""))</f>
        <v/>
      </c>
    </row>
    <row r="70" spans="1:13" x14ac:dyDescent="0.2">
      <c r="A70" s="69">
        <f t="shared" si="5"/>
        <v>61</v>
      </c>
      <c r="B70" s="57" t="str">
        <f>IF('Setup &amp; Summary'!$N$15&gt;A70,A!B69+1,"")</f>
        <v/>
      </c>
      <c r="C70" s="71"/>
      <c r="D70" s="72"/>
      <c r="E70" s="72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68" t="str">
        <f>IF(B70="","",IF(B70='Setup &amp; Summary'!$N$15,J70-H70,I71-$N$5))</f>
        <v/>
      </c>
      <c r="J70" s="22" t="str">
        <f>IF(B70="","",IF(B70='Setup &amp; Summary'!$N$15,INDEX(A!J:J,MATCH(MAX(A!B:B),A!B:B)),I70+H70))</f>
        <v/>
      </c>
      <c r="K70" s="23" t="str">
        <f t="shared" si="1"/>
        <v/>
      </c>
      <c r="M70" s="60" t="str">
        <f>IF(B70="","",IF(B70*2='Setup &amp; Summary'!$N$15,"midstation row!",""))</f>
        <v/>
      </c>
    </row>
    <row r="71" spans="1:13" x14ac:dyDescent="0.2">
      <c r="A71" s="69">
        <f t="shared" si="5"/>
        <v>62</v>
      </c>
      <c r="B71" s="57" t="str">
        <f>IF('Setup &amp; Summary'!$N$15&gt;A71,A!B70+1,"")</f>
        <v/>
      </c>
      <c r="C71" s="71"/>
      <c r="D71" s="72"/>
      <c r="E71" s="72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68" t="str">
        <f>IF(B71="","",IF(B71='Setup &amp; Summary'!$N$15,J71-H71,I72-$N$5))</f>
        <v/>
      </c>
      <c r="J71" s="22" t="str">
        <f>IF(B71="","",IF(B71='Setup &amp; Summary'!$N$15,INDEX(A!J:J,MATCH(MAX(A!B:B),A!B:B)),I71+H71))</f>
        <v/>
      </c>
      <c r="K71" s="23" t="str">
        <f t="shared" si="1"/>
        <v/>
      </c>
      <c r="M71" s="60" t="str">
        <f>IF(B71="","",IF(B71*2='Setup &amp; Summary'!$N$15,"midstation row!",""))</f>
        <v/>
      </c>
    </row>
    <row r="72" spans="1:13" x14ac:dyDescent="0.2">
      <c r="A72" s="69">
        <f t="shared" si="5"/>
        <v>63</v>
      </c>
      <c r="B72" s="57" t="str">
        <f>IF('Setup &amp; Summary'!$N$15&gt;A72,A!B71+1,"")</f>
        <v/>
      </c>
      <c r="C72" s="71"/>
      <c r="D72" s="72"/>
      <c r="E72" s="72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68" t="str">
        <f>IF(B72="","",IF(B72='Setup &amp; Summary'!$N$15,J72-H72,I73-$N$5))</f>
        <v/>
      </c>
      <c r="J72" s="22" t="str">
        <f>IF(B72="","",IF(B72='Setup &amp; Summary'!$N$15,INDEX(A!J:J,MATCH(MAX(A!B:B),A!B:B)),I72+H72))</f>
        <v/>
      </c>
      <c r="K72" s="23" t="str">
        <f t="shared" si="1"/>
        <v/>
      </c>
      <c r="M72" s="60" t="str">
        <f>IF(B72="","",IF(B72*2='Setup &amp; Summary'!$N$15,"midstation row!",""))</f>
        <v/>
      </c>
    </row>
    <row r="73" spans="1:13" x14ac:dyDescent="0.2">
      <c r="A73" s="69">
        <f t="shared" si="5"/>
        <v>64</v>
      </c>
      <c r="B73" s="57" t="str">
        <f>IF('Setup &amp; Summary'!$N$15&gt;A73,A!B72+1,"")</f>
        <v/>
      </c>
      <c r="C73" s="71"/>
      <c r="D73" s="72"/>
      <c r="E73" s="72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68" t="str">
        <f>IF(B73="","",IF(B73='Setup &amp; Summary'!$N$15,J73-H73,I74-$N$5))</f>
        <v/>
      </c>
      <c r="J73" s="22" t="str">
        <f>IF(B73="","",IF(B73='Setup &amp; Summary'!$N$15,INDEX(A!J:J,MATCH(MAX(A!B:B),A!B:B)),I73+H73))</f>
        <v/>
      </c>
      <c r="K73" s="23" t="str">
        <f t="shared" ref="K73:K108" si="6">IF(B73="","",J73*$N$7)</f>
        <v/>
      </c>
      <c r="M73" s="60" t="str">
        <f>IF(B73="","",IF(B73*2='Setup &amp; Summary'!$N$15,"midstation row!",""))</f>
        <v/>
      </c>
    </row>
    <row r="74" spans="1:13" x14ac:dyDescent="0.2">
      <c r="A74" s="69">
        <f t="shared" si="5"/>
        <v>65</v>
      </c>
      <c r="B74" s="57" t="str">
        <f>IF('Setup &amp; Summary'!$N$15&gt;A74,A!B73+1,"")</f>
        <v/>
      </c>
      <c r="C74" s="71"/>
      <c r="D74" s="72"/>
      <c r="E74" s="72"/>
      <c r="F74" s="25" t="str">
        <f t="shared" ref="F74:F108" si="7">IF(B74="","",AVERAGE(C74:E74))</f>
        <v/>
      </c>
      <c r="G74" s="21" t="str">
        <f t="shared" ref="G74:G108" si="8">IF(B74="","",F74-$F$9)</f>
        <v/>
      </c>
      <c r="H74" s="25" t="str">
        <f t="shared" ref="H74:H108" si="9">IF(B74="","",H73+G74)</f>
        <v/>
      </c>
      <c r="I74" s="68" t="str">
        <f>IF(B74="","",IF(B74='Setup &amp; Summary'!$N$15,J74-H74,I75-$N$5))</f>
        <v/>
      </c>
      <c r="J74" s="22" t="str">
        <f>IF(B74="","",IF(B74='Setup &amp; Summary'!$N$15,INDEX(A!J:J,MATCH(MAX(A!B:B),A!B:B)),I74+H74))</f>
        <v/>
      </c>
      <c r="K74" s="23" t="str">
        <f t="shared" si="6"/>
        <v/>
      </c>
      <c r="M74" s="60" t="str">
        <f>IF(B74="","",IF(B74*2='Setup &amp; Summary'!$N$15,"midstation row!",""))</f>
        <v/>
      </c>
    </row>
    <row r="75" spans="1:13" x14ac:dyDescent="0.2">
      <c r="A75" s="69">
        <f t="shared" si="5"/>
        <v>66</v>
      </c>
      <c r="B75" s="57" t="str">
        <f>IF('Setup &amp; Summary'!$N$15&gt;A75,A!B74+1,"")</f>
        <v/>
      </c>
      <c r="C75" s="71"/>
      <c r="D75" s="72"/>
      <c r="E75" s="72"/>
      <c r="F75" s="25" t="str">
        <f t="shared" si="7"/>
        <v/>
      </c>
      <c r="G75" s="21" t="str">
        <f t="shared" si="8"/>
        <v/>
      </c>
      <c r="H75" s="25" t="str">
        <f t="shared" si="9"/>
        <v/>
      </c>
      <c r="I75" s="68" t="str">
        <f>IF(B75="","",IF(B75='Setup &amp; Summary'!$N$15,J75-H75,I76-$N$5))</f>
        <v/>
      </c>
      <c r="J75" s="22" t="str">
        <f>IF(B75="","",IF(B75='Setup &amp; Summary'!$N$15,INDEX(A!J:J,MATCH(MAX(A!B:B),A!B:B)),I75+H75))</f>
        <v/>
      </c>
      <c r="K75" s="23" t="str">
        <f t="shared" si="6"/>
        <v/>
      </c>
      <c r="M75" s="60" t="str">
        <f>IF(B75="","",IF(B75*2='Setup &amp; Summary'!$N$15,"midstation row!",""))</f>
        <v/>
      </c>
    </row>
    <row r="76" spans="1:13" x14ac:dyDescent="0.2">
      <c r="A76" s="69">
        <f t="shared" ref="A76:A108" si="10">A75+1</f>
        <v>67</v>
      </c>
      <c r="B76" s="57" t="str">
        <f>IF('Setup &amp; Summary'!$N$15&gt;A76,A!B75+1,"")</f>
        <v/>
      </c>
      <c r="C76" s="71"/>
      <c r="D76" s="72"/>
      <c r="E76" s="72"/>
      <c r="F76" s="25" t="str">
        <f t="shared" si="7"/>
        <v/>
      </c>
      <c r="G76" s="21" t="str">
        <f t="shared" si="8"/>
        <v/>
      </c>
      <c r="H76" s="25" t="str">
        <f t="shared" si="9"/>
        <v/>
      </c>
      <c r="I76" s="68" t="str">
        <f>IF(B76="","",IF(B76='Setup &amp; Summary'!$N$15,J76-H76,I77-$N$5))</f>
        <v/>
      </c>
      <c r="J76" s="22" t="str">
        <f>IF(B76="","",IF(B76='Setup &amp; Summary'!$N$15,INDEX(A!J:J,MATCH(MAX(A!B:B),A!B:B)),I76+H76))</f>
        <v/>
      </c>
      <c r="K76" s="23" t="str">
        <f t="shared" si="6"/>
        <v/>
      </c>
      <c r="M76" s="60" t="str">
        <f>IF(B76="","",IF(B76*2='Setup &amp; Summary'!$N$15,"midstation row!",""))</f>
        <v/>
      </c>
    </row>
    <row r="77" spans="1:13" x14ac:dyDescent="0.2">
      <c r="A77" s="69">
        <f t="shared" si="10"/>
        <v>68</v>
      </c>
      <c r="B77" s="57" t="str">
        <f>IF('Setup &amp; Summary'!$N$15&gt;A77,A!B76+1,"")</f>
        <v/>
      </c>
      <c r="C77" s="71"/>
      <c r="D77" s="72"/>
      <c r="E77" s="72"/>
      <c r="F77" s="25" t="str">
        <f t="shared" si="7"/>
        <v/>
      </c>
      <c r="G77" s="21" t="str">
        <f t="shared" si="8"/>
        <v/>
      </c>
      <c r="H77" s="25" t="str">
        <f t="shared" si="9"/>
        <v/>
      </c>
      <c r="I77" s="68" t="str">
        <f>IF(B77="","",IF(B77='Setup &amp; Summary'!$N$15,J77-H77,I78-$N$5))</f>
        <v/>
      </c>
      <c r="J77" s="22" t="str">
        <f>IF(B77="","",IF(B77='Setup &amp; Summary'!$N$15,INDEX(A!J:J,MATCH(MAX(A!B:B),A!B:B)),I77+H77))</f>
        <v/>
      </c>
      <c r="K77" s="23" t="str">
        <f t="shared" si="6"/>
        <v/>
      </c>
      <c r="M77" s="60" t="str">
        <f>IF(B77="","",IF(B77*2='Setup &amp; Summary'!$N$15,"midstation row!",""))</f>
        <v/>
      </c>
    </row>
    <row r="78" spans="1:13" x14ac:dyDescent="0.2">
      <c r="A78" s="69">
        <f t="shared" si="10"/>
        <v>69</v>
      </c>
      <c r="B78" s="57" t="str">
        <f>IF('Setup &amp; Summary'!$N$15&gt;A78,A!B77+1,"")</f>
        <v/>
      </c>
      <c r="C78" s="71"/>
      <c r="D78" s="72"/>
      <c r="E78" s="72"/>
      <c r="F78" s="25" t="str">
        <f t="shared" si="7"/>
        <v/>
      </c>
      <c r="G78" s="21" t="str">
        <f t="shared" si="8"/>
        <v/>
      </c>
      <c r="H78" s="25" t="str">
        <f t="shared" si="9"/>
        <v/>
      </c>
      <c r="I78" s="68" t="str">
        <f>IF(B78="","",IF(B78='Setup &amp; Summary'!$N$15,J78-H78,I79-$N$5))</f>
        <v/>
      </c>
      <c r="J78" s="22" t="str">
        <f>IF(B78="","",IF(B78='Setup &amp; Summary'!$N$15,INDEX(A!J:J,MATCH(MAX(A!B:B),A!B:B)),I78+H78))</f>
        <v/>
      </c>
      <c r="K78" s="23" t="str">
        <f t="shared" si="6"/>
        <v/>
      </c>
      <c r="M78" s="60" t="str">
        <f>IF(B78="","",IF(B78*2='Setup &amp; Summary'!$N$15,"midstation row!",""))</f>
        <v/>
      </c>
    </row>
    <row r="79" spans="1:13" x14ac:dyDescent="0.2">
      <c r="A79" s="69">
        <f t="shared" si="10"/>
        <v>70</v>
      </c>
      <c r="B79" s="57" t="str">
        <f>IF('Setup &amp; Summary'!$N$15&gt;A79,A!B78+1,"")</f>
        <v/>
      </c>
      <c r="C79" s="71"/>
      <c r="D79" s="72"/>
      <c r="E79" s="72"/>
      <c r="F79" s="25" t="str">
        <f t="shared" si="7"/>
        <v/>
      </c>
      <c r="G79" s="21" t="str">
        <f t="shared" si="8"/>
        <v/>
      </c>
      <c r="H79" s="25" t="str">
        <f t="shared" si="9"/>
        <v/>
      </c>
      <c r="I79" s="68" t="str">
        <f>IF(B79="","",IF(B79='Setup &amp; Summary'!$N$15,J79-H79,I80-$N$5))</f>
        <v/>
      </c>
      <c r="J79" s="22" t="str">
        <f>IF(B79="","",IF(B79='Setup &amp; Summary'!$N$15,INDEX(A!J:J,MATCH(MAX(A!B:B),A!B:B)),I79+H79))</f>
        <v/>
      </c>
      <c r="K79" s="23" t="str">
        <f t="shared" si="6"/>
        <v/>
      </c>
      <c r="M79" s="60" t="str">
        <f>IF(B79="","",IF(B79*2='Setup &amp; Summary'!$N$15,"midstation row!",""))</f>
        <v/>
      </c>
    </row>
    <row r="80" spans="1:13" x14ac:dyDescent="0.2">
      <c r="A80" s="69">
        <f t="shared" si="10"/>
        <v>71</v>
      </c>
      <c r="B80" s="57" t="str">
        <f>IF('Setup &amp; Summary'!$N$15&gt;A80,A!B79+1,"")</f>
        <v/>
      </c>
      <c r="C80" s="71"/>
      <c r="D80" s="72"/>
      <c r="E80" s="72"/>
      <c r="F80" s="25" t="str">
        <f t="shared" si="7"/>
        <v/>
      </c>
      <c r="G80" s="21" t="str">
        <f t="shared" si="8"/>
        <v/>
      </c>
      <c r="H80" s="25" t="str">
        <f t="shared" si="9"/>
        <v/>
      </c>
      <c r="I80" s="68" t="str">
        <f>IF(B80="","",IF(B80='Setup &amp; Summary'!$N$15,J80-H80,I81-$N$5))</f>
        <v/>
      </c>
      <c r="J80" s="22" t="str">
        <f>IF(B80="","",IF(B80='Setup &amp; Summary'!$N$15,INDEX(A!J:J,MATCH(MAX(A!B:B),A!B:B)),I80+H80))</f>
        <v/>
      </c>
      <c r="K80" s="23" t="str">
        <f t="shared" si="6"/>
        <v/>
      </c>
      <c r="M80" s="60" t="str">
        <f>IF(B80="","",IF(B80*2='Setup &amp; Summary'!$N$15,"midstation row!",""))</f>
        <v/>
      </c>
    </row>
    <row r="81" spans="1:13" x14ac:dyDescent="0.2">
      <c r="A81" s="69">
        <f t="shared" si="10"/>
        <v>72</v>
      </c>
      <c r="B81" s="57" t="str">
        <f>IF('Setup &amp; Summary'!$N$15&gt;A81,A!B80+1,"")</f>
        <v/>
      </c>
      <c r="C81" s="71"/>
      <c r="D81" s="72"/>
      <c r="E81" s="72"/>
      <c r="F81" s="25" t="str">
        <f t="shared" si="7"/>
        <v/>
      </c>
      <c r="G81" s="21" t="str">
        <f t="shared" si="8"/>
        <v/>
      </c>
      <c r="H81" s="25" t="str">
        <f t="shared" si="9"/>
        <v/>
      </c>
      <c r="I81" s="68" t="str">
        <f>IF(B81="","",IF(B81='Setup &amp; Summary'!$N$15,J81-H81,I82-$N$5))</f>
        <v/>
      </c>
      <c r="J81" s="22" t="str">
        <f>IF(B81="","",IF(B81='Setup &amp; Summary'!$N$15,INDEX(A!J:J,MATCH(MAX(A!B:B),A!B:B)),I81+H81))</f>
        <v/>
      </c>
      <c r="K81" s="23" t="str">
        <f t="shared" si="6"/>
        <v/>
      </c>
      <c r="M81" s="60" t="str">
        <f>IF(B81="","",IF(B81*2='Setup &amp; Summary'!$N$15,"midstation row!",""))</f>
        <v/>
      </c>
    </row>
    <row r="82" spans="1:13" x14ac:dyDescent="0.2">
      <c r="A82" s="69">
        <f t="shared" si="10"/>
        <v>73</v>
      </c>
      <c r="B82" s="57" t="str">
        <f>IF('Setup &amp; Summary'!$N$15&gt;A82,A!B81+1,"")</f>
        <v/>
      </c>
      <c r="C82" s="71"/>
      <c r="D82" s="72"/>
      <c r="E82" s="72"/>
      <c r="F82" s="25" t="str">
        <f t="shared" si="7"/>
        <v/>
      </c>
      <c r="G82" s="21" t="str">
        <f t="shared" si="8"/>
        <v/>
      </c>
      <c r="H82" s="25" t="str">
        <f t="shared" si="9"/>
        <v/>
      </c>
      <c r="I82" s="68" t="str">
        <f>IF(B82="","",IF(B82='Setup &amp; Summary'!$N$15,J82-H82,I83-$N$5))</f>
        <v/>
      </c>
      <c r="J82" s="22" t="str">
        <f>IF(B82="","",IF(B82='Setup &amp; Summary'!$N$15,INDEX(A!J:J,MATCH(MAX(A!B:B),A!B:B)),I82+H82))</f>
        <v/>
      </c>
      <c r="K82" s="23" t="str">
        <f t="shared" si="6"/>
        <v/>
      </c>
      <c r="M82" s="60" t="str">
        <f>IF(B82="","",IF(B82*2='Setup &amp; Summary'!$N$15,"midstation row!",""))</f>
        <v/>
      </c>
    </row>
    <row r="83" spans="1:13" x14ac:dyDescent="0.2">
      <c r="A83" s="69">
        <f t="shared" si="10"/>
        <v>74</v>
      </c>
      <c r="B83" s="57" t="str">
        <f>IF('Setup &amp; Summary'!$N$15&gt;A83,A!B82+1,"")</f>
        <v/>
      </c>
      <c r="C83" s="71"/>
      <c r="D83" s="72"/>
      <c r="E83" s="72"/>
      <c r="F83" s="25" t="str">
        <f t="shared" si="7"/>
        <v/>
      </c>
      <c r="G83" s="21" t="str">
        <f t="shared" si="8"/>
        <v/>
      </c>
      <c r="H83" s="25" t="str">
        <f t="shared" si="9"/>
        <v/>
      </c>
      <c r="I83" s="68" t="str">
        <f>IF(B83="","",IF(B83='Setup &amp; Summary'!$N$15,J83-H83,I84-$N$5))</f>
        <v/>
      </c>
      <c r="J83" s="22" t="str">
        <f>IF(B83="","",IF(B83='Setup &amp; Summary'!$N$15,INDEX(A!J:J,MATCH(MAX(A!B:B),A!B:B)),I83+H83))</f>
        <v/>
      </c>
      <c r="K83" s="23" t="str">
        <f t="shared" si="6"/>
        <v/>
      </c>
      <c r="M83" s="60" t="str">
        <f>IF(B83="","",IF(B83*2='Setup &amp; Summary'!$N$15,"midstation row!",""))</f>
        <v/>
      </c>
    </row>
    <row r="84" spans="1:13" x14ac:dyDescent="0.2">
      <c r="A84" s="69">
        <f t="shared" si="10"/>
        <v>75</v>
      </c>
      <c r="B84" s="57" t="str">
        <f>IF('Setup &amp; Summary'!$N$15&gt;A84,A!B83+1,"")</f>
        <v/>
      </c>
      <c r="C84" s="71"/>
      <c r="D84" s="72"/>
      <c r="E84" s="72"/>
      <c r="F84" s="25" t="str">
        <f t="shared" si="7"/>
        <v/>
      </c>
      <c r="G84" s="21" t="str">
        <f t="shared" si="8"/>
        <v/>
      </c>
      <c r="H84" s="25" t="str">
        <f t="shared" si="9"/>
        <v/>
      </c>
      <c r="I84" s="68" t="str">
        <f>IF(B84="","",IF(B84='Setup &amp; Summary'!$N$15,J84-H84,I85-$N$5))</f>
        <v/>
      </c>
      <c r="J84" s="22" t="str">
        <f>IF(B84="","",IF(B84='Setup &amp; Summary'!$N$15,INDEX(A!J:J,MATCH(MAX(A!B:B),A!B:B)),I84+H84))</f>
        <v/>
      </c>
      <c r="K84" s="23" t="str">
        <f t="shared" si="6"/>
        <v/>
      </c>
      <c r="M84" s="60" t="str">
        <f>IF(B84="","",IF(B84*2='Setup &amp; Summary'!$N$15,"midstation row!",""))</f>
        <v/>
      </c>
    </row>
    <row r="85" spans="1:13" x14ac:dyDescent="0.2">
      <c r="A85" s="69">
        <f t="shared" si="10"/>
        <v>76</v>
      </c>
      <c r="B85" s="57" t="str">
        <f>IF('Setup &amp; Summary'!$N$15&gt;A85,A!B84+1,"")</f>
        <v/>
      </c>
      <c r="C85" s="71"/>
      <c r="D85" s="72"/>
      <c r="E85" s="72"/>
      <c r="F85" s="25" t="str">
        <f t="shared" si="7"/>
        <v/>
      </c>
      <c r="G85" s="21" t="str">
        <f t="shared" si="8"/>
        <v/>
      </c>
      <c r="H85" s="25" t="str">
        <f t="shared" si="9"/>
        <v/>
      </c>
      <c r="I85" s="68" t="str">
        <f>IF(B85="","",IF(B85='Setup &amp; Summary'!$N$15,J85-H85,I86-$N$5))</f>
        <v/>
      </c>
      <c r="J85" s="22" t="str">
        <f>IF(B85="","",IF(B85='Setup &amp; Summary'!$N$15,INDEX(A!J:J,MATCH(MAX(A!B:B),A!B:B)),I85+H85))</f>
        <v/>
      </c>
      <c r="K85" s="23" t="str">
        <f t="shared" si="6"/>
        <v/>
      </c>
      <c r="M85" s="60" t="str">
        <f>IF(B85="","",IF(B85*2='Setup &amp; Summary'!$N$15,"midstation row!",""))</f>
        <v/>
      </c>
    </row>
    <row r="86" spans="1:13" x14ac:dyDescent="0.2">
      <c r="A86" s="69">
        <f t="shared" si="10"/>
        <v>77</v>
      </c>
      <c r="B86" s="57" t="str">
        <f>IF('Setup &amp; Summary'!$N$15&gt;A86,A!B85+1,"")</f>
        <v/>
      </c>
      <c r="C86" s="71"/>
      <c r="D86" s="72"/>
      <c r="E86" s="72"/>
      <c r="F86" s="25" t="str">
        <f t="shared" si="7"/>
        <v/>
      </c>
      <c r="G86" s="21" t="str">
        <f t="shared" si="8"/>
        <v/>
      </c>
      <c r="H86" s="25" t="str">
        <f t="shared" si="9"/>
        <v/>
      </c>
      <c r="I86" s="68" t="str">
        <f>IF(B86="","",IF(B86='Setup &amp; Summary'!$N$15,J86-H86,I87-$N$5))</f>
        <v/>
      </c>
      <c r="J86" s="22" t="str">
        <f>IF(B86="","",IF(B86='Setup &amp; Summary'!$N$15,INDEX(A!J:J,MATCH(MAX(A!B:B),A!B:B)),I86+H86))</f>
        <v/>
      </c>
      <c r="K86" s="23" t="str">
        <f t="shared" si="6"/>
        <v/>
      </c>
      <c r="M86" s="60" t="str">
        <f>IF(B86="","",IF(B86*2='Setup &amp; Summary'!$N$15,"midstation row!",""))</f>
        <v/>
      </c>
    </row>
    <row r="87" spans="1:13" x14ac:dyDescent="0.2">
      <c r="A87" s="69">
        <f t="shared" si="10"/>
        <v>78</v>
      </c>
      <c r="B87" s="57" t="str">
        <f>IF('Setup &amp; Summary'!$N$15&gt;A87,A!B86+1,"")</f>
        <v/>
      </c>
      <c r="C87" s="71"/>
      <c r="D87" s="72"/>
      <c r="E87" s="72"/>
      <c r="F87" s="25" t="str">
        <f t="shared" si="7"/>
        <v/>
      </c>
      <c r="G87" s="21" t="str">
        <f t="shared" si="8"/>
        <v/>
      </c>
      <c r="H87" s="25" t="str">
        <f t="shared" si="9"/>
        <v/>
      </c>
      <c r="I87" s="68" t="str">
        <f>IF(B87="","",IF(B87='Setup &amp; Summary'!$N$15,J87-H87,I88-$N$5))</f>
        <v/>
      </c>
      <c r="J87" s="22" t="str">
        <f>IF(B87="","",IF(B87='Setup &amp; Summary'!$N$15,INDEX(A!J:J,MATCH(MAX(A!B:B),A!B:B)),I87+H87))</f>
        <v/>
      </c>
      <c r="K87" s="23" t="str">
        <f t="shared" si="6"/>
        <v/>
      </c>
      <c r="M87" s="60" t="str">
        <f>IF(B87="","",IF(B87*2='Setup &amp; Summary'!$N$15,"midstation row!",""))</f>
        <v/>
      </c>
    </row>
    <row r="88" spans="1:13" x14ac:dyDescent="0.2">
      <c r="A88" s="69">
        <f t="shared" si="10"/>
        <v>79</v>
      </c>
      <c r="B88" s="57" t="str">
        <f>IF('Setup &amp; Summary'!$N$15&gt;A88,A!B87+1,"")</f>
        <v/>
      </c>
      <c r="C88" s="71"/>
      <c r="D88" s="72"/>
      <c r="E88" s="72"/>
      <c r="F88" s="25" t="str">
        <f t="shared" si="7"/>
        <v/>
      </c>
      <c r="G88" s="21" t="str">
        <f t="shared" si="8"/>
        <v/>
      </c>
      <c r="H88" s="25" t="str">
        <f t="shared" si="9"/>
        <v/>
      </c>
      <c r="I88" s="68" t="str">
        <f>IF(B88="","",IF(B88='Setup &amp; Summary'!$N$15,J88-H88,I89-$N$5))</f>
        <v/>
      </c>
      <c r="J88" s="22" t="str">
        <f>IF(B88="","",IF(B88='Setup &amp; Summary'!$N$15,INDEX(A!J:J,MATCH(MAX(A!B:B),A!B:B)),I88+H88))</f>
        <v/>
      </c>
      <c r="K88" s="23" t="str">
        <f t="shared" si="6"/>
        <v/>
      </c>
      <c r="M88" s="60" t="str">
        <f>IF(B88="","",IF(B88*2='Setup &amp; Summary'!$N$15,"midstation row!",""))</f>
        <v/>
      </c>
    </row>
    <row r="89" spans="1:13" x14ac:dyDescent="0.2">
      <c r="A89" s="69">
        <f t="shared" si="10"/>
        <v>80</v>
      </c>
      <c r="B89" s="57" t="str">
        <f>IF('Setup &amp; Summary'!$N$15&gt;A89,A!B88+1,"")</f>
        <v/>
      </c>
      <c r="C89" s="71"/>
      <c r="D89" s="72"/>
      <c r="E89" s="72"/>
      <c r="F89" s="25" t="str">
        <f t="shared" si="7"/>
        <v/>
      </c>
      <c r="G89" s="21" t="str">
        <f t="shared" si="8"/>
        <v/>
      </c>
      <c r="H89" s="25" t="str">
        <f t="shared" si="9"/>
        <v/>
      </c>
      <c r="I89" s="68" t="str">
        <f>IF(B89="","",IF(B89='Setup &amp; Summary'!$N$15,J89-H89,I90-$N$5))</f>
        <v/>
      </c>
      <c r="J89" s="22" t="str">
        <f>IF(B89="","",IF(B89='Setup &amp; Summary'!$N$15,INDEX(A!J:J,MATCH(MAX(A!B:B),A!B:B)),I89+H89))</f>
        <v/>
      </c>
      <c r="K89" s="23" t="str">
        <f t="shared" si="6"/>
        <v/>
      </c>
      <c r="M89" s="60" t="str">
        <f>IF(B89="","",IF(B89*2='Setup &amp; Summary'!$N$15,"midstation row!",""))</f>
        <v/>
      </c>
    </row>
    <row r="90" spans="1:13" x14ac:dyDescent="0.2">
      <c r="A90" s="69">
        <f t="shared" si="10"/>
        <v>81</v>
      </c>
      <c r="B90" s="57" t="str">
        <f>IF('Setup &amp; Summary'!$N$15&gt;A90,A!B89+1,"")</f>
        <v/>
      </c>
      <c r="C90" s="71"/>
      <c r="D90" s="72"/>
      <c r="E90" s="72"/>
      <c r="F90" s="25" t="str">
        <f t="shared" si="7"/>
        <v/>
      </c>
      <c r="G90" s="21" t="str">
        <f t="shared" si="8"/>
        <v/>
      </c>
      <c r="H90" s="25" t="str">
        <f t="shared" si="9"/>
        <v/>
      </c>
      <c r="I90" s="68" t="str">
        <f>IF(B90="","",IF(B90='Setup &amp; Summary'!$N$15,J90-H90,I91-$N$5))</f>
        <v/>
      </c>
      <c r="J90" s="22" t="str">
        <f>IF(B90="","",IF(B90='Setup &amp; Summary'!$N$15,INDEX(A!J:J,MATCH(MAX(A!B:B),A!B:B)),I90+H90))</f>
        <v/>
      </c>
      <c r="K90" s="23" t="str">
        <f t="shared" si="6"/>
        <v/>
      </c>
      <c r="M90" s="60" t="str">
        <f>IF(B90="","",IF(B90*2='Setup &amp; Summary'!$N$15,"midstation row!",""))</f>
        <v/>
      </c>
    </row>
    <row r="91" spans="1:13" x14ac:dyDescent="0.2">
      <c r="A91" s="69">
        <f t="shared" si="10"/>
        <v>82</v>
      </c>
      <c r="B91" s="57" t="str">
        <f>IF('Setup &amp; Summary'!$N$15&gt;A91,A!B90+1,"")</f>
        <v/>
      </c>
      <c r="C91" s="71"/>
      <c r="D91" s="72"/>
      <c r="E91" s="72"/>
      <c r="F91" s="25" t="str">
        <f t="shared" si="7"/>
        <v/>
      </c>
      <c r="G91" s="21" t="str">
        <f t="shared" si="8"/>
        <v/>
      </c>
      <c r="H91" s="25" t="str">
        <f t="shared" si="9"/>
        <v/>
      </c>
      <c r="I91" s="68" t="str">
        <f>IF(B91="","",IF(B91='Setup &amp; Summary'!$N$15,J91-H91,I92-$N$5))</f>
        <v/>
      </c>
      <c r="J91" s="22" t="str">
        <f>IF(B91="","",IF(B91='Setup &amp; Summary'!$N$15,INDEX(A!J:J,MATCH(MAX(A!B:B),A!B:B)),I91+H91))</f>
        <v/>
      </c>
      <c r="K91" s="23" t="str">
        <f t="shared" si="6"/>
        <v/>
      </c>
      <c r="M91" s="60" t="str">
        <f>IF(B91="","",IF(B91*2='Setup &amp; Summary'!$N$15,"midstation row!",""))</f>
        <v/>
      </c>
    </row>
    <row r="92" spans="1:13" x14ac:dyDescent="0.2">
      <c r="A92" s="69">
        <f t="shared" si="10"/>
        <v>83</v>
      </c>
      <c r="B92" s="57" t="str">
        <f>IF('Setup &amp; Summary'!$N$15&gt;A92,A!B91+1,"")</f>
        <v/>
      </c>
      <c r="C92" s="71"/>
      <c r="D92" s="72"/>
      <c r="E92" s="72"/>
      <c r="F92" s="25" t="str">
        <f t="shared" si="7"/>
        <v/>
      </c>
      <c r="G92" s="21" t="str">
        <f t="shared" si="8"/>
        <v/>
      </c>
      <c r="H92" s="25" t="str">
        <f t="shared" si="9"/>
        <v/>
      </c>
      <c r="I92" s="68" t="str">
        <f>IF(B92="","",IF(B92='Setup &amp; Summary'!$N$15,J92-H92,I93-$N$5))</f>
        <v/>
      </c>
      <c r="J92" s="22" t="str">
        <f>IF(B92="","",IF(B92='Setup &amp; Summary'!$N$15,INDEX(A!J:J,MATCH(MAX(A!B:B),A!B:B)),I92+H92))</f>
        <v/>
      </c>
      <c r="K92" s="23" t="str">
        <f t="shared" si="6"/>
        <v/>
      </c>
      <c r="M92" s="60" t="str">
        <f>IF(B92="","",IF(B92*2='Setup &amp; Summary'!$N$15,"midstation row!",""))</f>
        <v/>
      </c>
    </row>
    <row r="93" spans="1:13" x14ac:dyDescent="0.2">
      <c r="A93" s="69">
        <f t="shared" si="10"/>
        <v>84</v>
      </c>
      <c r="B93" s="57" t="str">
        <f>IF('Setup &amp; Summary'!$N$15&gt;A93,A!B92+1,"")</f>
        <v/>
      </c>
      <c r="C93" s="71"/>
      <c r="D93" s="72"/>
      <c r="E93" s="72"/>
      <c r="F93" s="25" t="str">
        <f t="shared" si="7"/>
        <v/>
      </c>
      <c r="G93" s="21" t="str">
        <f t="shared" si="8"/>
        <v/>
      </c>
      <c r="H93" s="25" t="str">
        <f t="shared" si="9"/>
        <v/>
      </c>
      <c r="I93" s="68" t="str">
        <f>IF(B93="","",IF(B93='Setup &amp; Summary'!$N$15,J93-H93,I94-$N$5))</f>
        <v/>
      </c>
      <c r="J93" s="22" t="str">
        <f>IF(B93="","",IF(B93='Setup &amp; Summary'!$N$15,INDEX(A!J:J,MATCH(MAX(A!B:B),A!B:B)),I93+H93))</f>
        <v/>
      </c>
      <c r="K93" s="23" t="str">
        <f t="shared" si="6"/>
        <v/>
      </c>
      <c r="M93" s="60" t="str">
        <f>IF(B93="","",IF(B93*2='Setup &amp; Summary'!$N$15,"midstation row!",""))</f>
        <v/>
      </c>
    </row>
    <row r="94" spans="1:13" x14ac:dyDescent="0.2">
      <c r="A94" s="69">
        <f t="shared" si="10"/>
        <v>85</v>
      </c>
      <c r="B94" s="57" t="str">
        <f>IF('Setup &amp; Summary'!$N$15&gt;A94,A!B93+1,"")</f>
        <v/>
      </c>
      <c r="C94" s="71"/>
      <c r="D94" s="72"/>
      <c r="E94" s="72"/>
      <c r="F94" s="25" t="str">
        <f t="shared" si="7"/>
        <v/>
      </c>
      <c r="G94" s="21" t="str">
        <f t="shared" si="8"/>
        <v/>
      </c>
      <c r="H94" s="25" t="str">
        <f t="shared" si="9"/>
        <v/>
      </c>
      <c r="I94" s="68" t="str">
        <f>IF(B94="","",IF(B94='Setup &amp; Summary'!$N$15,J94-H94,I95-$N$5))</f>
        <v/>
      </c>
      <c r="J94" s="22" t="str">
        <f>IF(B94="","",IF(B94='Setup &amp; Summary'!$N$15,INDEX(A!J:J,MATCH(MAX(A!B:B),A!B:B)),I94+H94))</f>
        <v/>
      </c>
      <c r="K94" s="23" t="str">
        <f t="shared" si="6"/>
        <v/>
      </c>
      <c r="M94" s="60" t="str">
        <f>IF(B94="","",IF(B94*2='Setup &amp; Summary'!$N$15,"midstation row!",""))</f>
        <v/>
      </c>
    </row>
    <row r="95" spans="1:13" x14ac:dyDescent="0.2">
      <c r="A95" s="69">
        <f t="shared" si="10"/>
        <v>86</v>
      </c>
      <c r="B95" s="57" t="str">
        <f>IF('Setup &amp; Summary'!$N$15&gt;A95,A!B94+1,"")</f>
        <v/>
      </c>
      <c r="C95" s="71"/>
      <c r="D95" s="72"/>
      <c r="E95" s="72"/>
      <c r="F95" s="25" t="str">
        <f t="shared" si="7"/>
        <v/>
      </c>
      <c r="G95" s="21" t="str">
        <f t="shared" si="8"/>
        <v/>
      </c>
      <c r="H95" s="25" t="str">
        <f t="shared" si="9"/>
        <v/>
      </c>
      <c r="I95" s="68" t="str">
        <f>IF(B95="","",IF(B95='Setup &amp; Summary'!$N$15,J95-H95,I96-$N$5))</f>
        <v/>
      </c>
      <c r="J95" s="22" t="str">
        <f>IF(B95="","",IF(B95='Setup &amp; Summary'!$N$15,INDEX(A!J:J,MATCH(MAX(A!B:B),A!B:B)),I95+H95))</f>
        <v/>
      </c>
      <c r="K95" s="23" t="str">
        <f t="shared" si="6"/>
        <v/>
      </c>
      <c r="M95" s="60" t="str">
        <f>IF(B95="","",IF(B95*2='Setup &amp; Summary'!$N$15,"midstation row!",""))</f>
        <v/>
      </c>
    </row>
    <row r="96" spans="1:13" x14ac:dyDescent="0.2">
      <c r="A96" s="69">
        <f t="shared" si="10"/>
        <v>87</v>
      </c>
      <c r="B96" s="57" t="str">
        <f>IF('Setup &amp; Summary'!$N$15&gt;A96,A!B95+1,"")</f>
        <v/>
      </c>
      <c r="C96" s="71"/>
      <c r="D96" s="72"/>
      <c r="E96" s="72"/>
      <c r="F96" s="25" t="str">
        <f t="shared" si="7"/>
        <v/>
      </c>
      <c r="G96" s="21" t="str">
        <f t="shared" si="8"/>
        <v/>
      </c>
      <c r="H96" s="25" t="str">
        <f t="shared" si="9"/>
        <v/>
      </c>
      <c r="I96" s="68" t="str">
        <f>IF(B96="","",IF(B96='Setup &amp; Summary'!$N$15,J96-H96,I97-$N$5))</f>
        <v/>
      </c>
      <c r="J96" s="22" t="str">
        <f>IF(B96="","",IF(B96='Setup &amp; Summary'!$N$15,INDEX(A!J:J,MATCH(MAX(A!B:B),A!B:B)),I96+H96))</f>
        <v/>
      </c>
      <c r="K96" s="23" t="str">
        <f t="shared" si="6"/>
        <v/>
      </c>
      <c r="M96" s="60" t="str">
        <f>IF(B96="","",IF(B96*2='Setup &amp; Summary'!$N$15,"midstation row!",""))</f>
        <v/>
      </c>
    </row>
    <row r="97" spans="1:13" x14ac:dyDescent="0.2">
      <c r="A97" s="69">
        <f t="shared" si="10"/>
        <v>88</v>
      </c>
      <c r="B97" s="57" t="str">
        <f>IF('Setup &amp; Summary'!$N$15&gt;A97,A!B96+1,"")</f>
        <v/>
      </c>
      <c r="C97" s="71"/>
      <c r="D97" s="72"/>
      <c r="E97" s="72"/>
      <c r="F97" s="25" t="str">
        <f t="shared" si="7"/>
        <v/>
      </c>
      <c r="G97" s="21" t="str">
        <f t="shared" si="8"/>
        <v/>
      </c>
      <c r="H97" s="25" t="str">
        <f t="shared" si="9"/>
        <v/>
      </c>
      <c r="I97" s="68" t="str">
        <f>IF(B97="","",IF(B97='Setup &amp; Summary'!$N$15,J97-H97,I98-$N$5))</f>
        <v/>
      </c>
      <c r="J97" s="22" t="str">
        <f>IF(B97="","",IF(B97='Setup &amp; Summary'!$N$15,INDEX(A!J:J,MATCH(MAX(A!B:B),A!B:B)),I97+H97))</f>
        <v/>
      </c>
      <c r="K97" s="23" t="str">
        <f t="shared" si="6"/>
        <v/>
      </c>
      <c r="M97" s="60" t="str">
        <f>IF(B97="","",IF(B97*2='Setup &amp; Summary'!$N$15,"midstation row!",""))</f>
        <v/>
      </c>
    </row>
    <row r="98" spans="1:13" x14ac:dyDescent="0.2">
      <c r="A98" s="69">
        <f t="shared" si="10"/>
        <v>89</v>
      </c>
      <c r="B98" s="57" t="str">
        <f>IF('Setup &amp; Summary'!$N$15&gt;A98,A!B97+1,"")</f>
        <v/>
      </c>
      <c r="C98" s="71"/>
      <c r="D98" s="72"/>
      <c r="E98" s="72"/>
      <c r="F98" s="25" t="str">
        <f t="shared" si="7"/>
        <v/>
      </c>
      <c r="G98" s="21" t="str">
        <f t="shared" si="8"/>
        <v/>
      </c>
      <c r="H98" s="25" t="str">
        <f t="shared" si="9"/>
        <v/>
      </c>
      <c r="I98" s="68" t="str">
        <f>IF(B98="","",IF(B98='Setup &amp; Summary'!$N$15,J98-H98,I99-$N$5))</f>
        <v/>
      </c>
      <c r="J98" s="22" t="str">
        <f>IF(B98="","",IF(B98='Setup &amp; Summary'!$N$15,INDEX(A!J:J,MATCH(MAX(A!B:B),A!B:B)),I98+H98))</f>
        <v/>
      </c>
      <c r="K98" s="23" t="str">
        <f t="shared" si="6"/>
        <v/>
      </c>
      <c r="M98" s="60" t="str">
        <f>IF(B98="","",IF(B98*2='Setup &amp; Summary'!$N$15,"midstation row!",""))</f>
        <v/>
      </c>
    </row>
    <row r="99" spans="1:13" x14ac:dyDescent="0.2">
      <c r="A99" s="69">
        <f t="shared" si="10"/>
        <v>90</v>
      </c>
      <c r="B99" s="57" t="str">
        <f>IF('Setup &amp; Summary'!$N$15&gt;A99,A!B98+1,"")</f>
        <v/>
      </c>
      <c r="C99" s="71"/>
      <c r="D99" s="72"/>
      <c r="E99" s="72"/>
      <c r="F99" s="25" t="str">
        <f t="shared" si="7"/>
        <v/>
      </c>
      <c r="G99" s="21" t="str">
        <f t="shared" si="8"/>
        <v/>
      </c>
      <c r="H99" s="25" t="str">
        <f t="shared" si="9"/>
        <v/>
      </c>
      <c r="I99" s="68" t="str">
        <f>IF(B99="","",IF(B99='Setup &amp; Summary'!$N$15,J99-H99,I100-$N$5))</f>
        <v/>
      </c>
      <c r="J99" s="22" t="str">
        <f>IF(B99="","",IF(B99='Setup &amp; Summary'!$N$15,INDEX(A!J:J,MATCH(MAX(A!B:B),A!B:B)),I99+H99))</f>
        <v/>
      </c>
      <c r="K99" s="23" t="str">
        <f t="shared" si="6"/>
        <v/>
      </c>
      <c r="M99" s="60" t="str">
        <f>IF(B99="","",IF(B99*2='Setup &amp; Summary'!$N$15,"midstation row!",""))</f>
        <v/>
      </c>
    </row>
    <row r="100" spans="1:13" x14ac:dyDescent="0.2">
      <c r="A100" s="69">
        <f t="shared" si="10"/>
        <v>91</v>
      </c>
      <c r="B100" s="57" t="str">
        <f>IF('Setup &amp; Summary'!$N$15&gt;A100,A!B99+1,"")</f>
        <v/>
      </c>
      <c r="C100" s="71"/>
      <c r="D100" s="72"/>
      <c r="E100" s="72"/>
      <c r="F100" s="25" t="str">
        <f t="shared" si="7"/>
        <v/>
      </c>
      <c r="G100" s="21" t="str">
        <f t="shared" si="8"/>
        <v/>
      </c>
      <c r="H100" s="25" t="str">
        <f t="shared" si="9"/>
        <v/>
      </c>
      <c r="I100" s="68" t="str">
        <f>IF(B100="","",IF(B100='Setup &amp; Summary'!$N$15,J100-H100,I101-$N$5))</f>
        <v/>
      </c>
      <c r="J100" s="22" t="str">
        <f>IF(B100="","",IF(B100='Setup &amp; Summary'!$N$15,INDEX(A!J:J,MATCH(MAX(A!B:B),A!B:B)),I100+H100))</f>
        <v/>
      </c>
      <c r="K100" s="23" t="str">
        <f t="shared" si="6"/>
        <v/>
      </c>
      <c r="M100" s="60" t="str">
        <f>IF(B100="","",IF(B100*2='Setup &amp; Summary'!$N$15,"midstation row!",""))</f>
        <v/>
      </c>
    </row>
    <row r="101" spans="1:13" x14ac:dyDescent="0.2">
      <c r="A101" s="69">
        <f t="shared" si="10"/>
        <v>92</v>
      </c>
      <c r="B101" s="57" t="str">
        <f>IF('Setup &amp; Summary'!$N$15&gt;A101,A!B100+1,"")</f>
        <v/>
      </c>
      <c r="C101" s="71"/>
      <c r="D101" s="72"/>
      <c r="E101" s="72"/>
      <c r="F101" s="25" t="str">
        <f t="shared" si="7"/>
        <v/>
      </c>
      <c r="G101" s="21" t="str">
        <f t="shared" si="8"/>
        <v/>
      </c>
      <c r="H101" s="25" t="str">
        <f t="shared" si="9"/>
        <v/>
      </c>
      <c r="I101" s="68" t="str">
        <f>IF(B101="","",IF(B101='Setup &amp; Summary'!$N$15,J101-H101,I102-$N$5))</f>
        <v/>
      </c>
      <c r="J101" s="22" t="str">
        <f>IF(B101="","",IF(B101='Setup &amp; Summary'!$N$15,INDEX(A!J:J,MATCH(MAX(A!B:B),A!B:B)),I101+H101))</f>
        <v/>
      </c>
      <c r="K101" s="23" t="str">
        <f t="shared" si="6"/>
        <v/>
      </c>
      <c r="M101" s="60" t="str">
        <f>IF(B101="","",IF(B101*2='Setup &amp; Summary'!$N$15,"midstation row!",""))</f>
        <v/>
      </c>
    </row>
    <row r="102" spans="1:13" x14ac:dyDescent="0.2">
      <c r="A102" s="69">
        <f t="shared" si="10"/>
        <v>93</v>
      </c>
      <c r="B102" s="57" t="str">
        <f>IF('Setup &amp; Summary'!$N$15&gt;A102,A!B101+1,"")</f>
        <v/>
      </c>
      <c r="C102" s="71"/>
      <c r="D102" s="72"/>
      <c r="E102" s="72"/>
      <c r="F102" s="25" t="str">
        <f t="shared" si="7"/>
        <v/>
      </c>
      <c r="G102" s="21" t="str">
        <f t="shared" si="8"/>
        <v/>
      </c>
      <c r="H102" s="25" t="str">
        <f t="shared" si="9"/>
        <v/>
      </c>
      <c r="I102" s="68" t="str">
        <f>IF(B102="","",IF(B102='Setup &amp; Summary'!$N$15,J102-H102,I103-$N$5))</f>
        <v/>
      </c>
      <c r="J102" s="22" t="str">
        <f>IF(B102="","",IF(B102='Setup &amp; Summary'!$N$15,INDEX(A!J:J,MATCH(MAX(A!B:B),A!B:B)),I102+H102))</f>
        <v/>
      </c>
      <c r="K102" s="23" t="str">
        <f t="shared" si="6"/>
        <v/>
      </c>
      <c r="M102" s="60" t="str">
        <f>IF(B102="","",IF(B102*2='Setup &amp; Summary'!$N$15,"midstation row!",""))</f>
        <v/>
      </c>
    </row>
    <row r="103" spans="1:13" x14ac:dyDescent="0.2">
      <c r="A103" s="69">
        <f t="shared" si="10"/>
        <v>94</v>
      </c>
      <c r="B103" s="57" t="str">
        <f>IF('Setup &amp; Summary'!$N$15&gt;A103,A!B102+1,"")</f>
        <v/>
      </c>
      <c r="C103" s="71"/>
      <c r="D103" s="72"/>
      <c r="E103" s="72"/>
      <c r="F103" s="25" t="str">
        <f t="shared" si="7"/>
        <v/>
      </c>
      <c r="G103" s="21" t="str">
        <f t="shared" si="8"/>
        <v/>
      </c>
      <c r="H103" s="25" t="str">
        <f t="shared" si="9"/>
        <v/>
      </c>
      <c r="I103" s="68" t="str">
        <f>IF(B103="","",IF(B103='Setup &amp; Summary'!$N$15,J103-H103,I104-$N$5))</f>
        <v/>
      </c>
      <c r="J103" s="22" t="str">
        <f>IF(B103="","",IF(B103='Setup &amp; Summary'!$N$15,INDEX(A!J:J,MATCH(MAX(A!B:B),A!B:B)),I103+H103))</f>
        <v/>
      </c>
      <c r="K103" s="23" t="str">
        <f t="shared" si="6"/>
        <v/>
      </c>
      <c r="M103" s="60" t="str">
        <f>IF(B103="","",IF(B103*2='Setup &amp; Summary'!$N$15,"midstation row!",""))</f>
        <v/>
      </c>
    </row>
    <row r="104" spans="1:13" x14ac:dyDescent="0.2">
      <c r="A104" s="69">
        <f t="shared" si="10"/>
        <v>95</v>
      </c>
      <c r="B104" s="57" t="str">
        <f>IF('Setup &amp; Summary'!$N$15&gt;A104,A!B103+1,"")</f>
        <v/>
      </c>
      <c r="C104" s="71"/>
      <c r="D104" s="72"/>
      <c r="E104" s="72"/>
      <c r="F104" s="25" t="str">
        <f t="shared" si="7"/>
        <v/>
      </c>
      <c r="G104" s="21" t="str">
        <f t="shared" si="8"/>
        <v/>
      </c>
      <c r="H104" s="25" t="str">
        <f t="shared" si="9"/>
        <v/>
      </c>
      <c r="I104" s="68" t="str">
        <f>IF(B104="","",IF(B104='Setup &amp; Summary'!$N$15,J104-H104,I105-$N$5))</f>
        <v/>
      </c>
      <c r="J104" s="22" t="str">
        <f>IF(B104="","",IF(B104='Setup &amp; Summary'!$N$15,INDEX(A!J:J,MATCH(MAX(A!B:B),A!B:B)),I104+H104))</f>
        <v/>
      </c>
      <c r="K104" s="23" t="str">
        <f t="shared" si="6"/>
        <v/>
      </c>
      <c r="M104" s="60" t="str">
        <f>IF(B104="","",IF(B104*2='Setup &amp; Summary'!$N$15,"midstation row!",""))</f>
        <v/>
      </c>
    </row>
    <row r="105" spans="1:13" x14ac:dyDescent="0.2">
      <c r="A105" s="69">
        <f t="shared" si="10"/>
        <v>96</v>
      </c>
      <c r="B105" s="57" t="str">
        <f>IF('Setup &amp; Summary'!$N$15&gt;A105,A!B104+1,"")</f>
        <v/>
      </c>
      <c r="C105" s="71"/>
      <c r="D105" s="72"/>
      <c r="E105" s="72"/>
      <c r="F105" s="25" t="str">
        <f t="shared" si="7"/>
        <v/>
      </c>
      <c r="G105" s="21" t="str">
        <f t="shared" si="8"/>
        <v/>
      </c>
      <c r="H105" s="25" t="str">
        <f t="shared" si="9"/>
        <v/>
      </c>
      <c r="I105" s="68" t="str">
        <f>IF(B105="","",IF(B105='Setup &amp; Summary'!$N$15,J105-H105,I106-$N$5))</f>
        <v/>
      </c>
      <c r="J105" s="22" t="str">
        <f>IF(B105="","",IF(B105='Setup &amp; Summary'!$N$15,INDEX(A!J:J,MATCH(MAX(A!B:B),A!B:B)),I105+H105))</f>
        <v/>
      </c>
      <c r="K105" s="23" t="str">
        <f t="shared" si="6"/>
        <v/>
      </c>
      <c r="M105" s="60" t="str">
        <f>IF(B105="","",IF(B105*2='Setup &amp; Summary'!$N$15,"midstation row!",""))</f>
        <v/>
      </c>
    </row>
    <row r="106" spans="1:13" x14ac:dyDescent="0.2">
      <c r="A106" s="69">
        <f t="shared" si="10"/>
        <v>97</v>
      </c>
      <c r="B106" s="57" t="str">
        <f>IF('Setup &amp; Summary'!$N$15&gt;A106,A!B105+1,"")</f>
        <v/>
      </c>
      <c r="C106" s="71"/>
      <c r="D106" s="72"/>
      <c r="E106" s="72"/>
      <c r="F106" s="25" t="str">
        <f t="shared" si="7"/>
        <v/>
      </c>
      <c r="G106" s="21" t="str">
        <f t="shared" si="8"/>
        <v/>
      </c>
      <c r="H106" s="25" t="str">
        <f t="shared" si="9"/>
        <v/>
      </c>
      <c r="I106" s="68" t="str">
        <f>IF(B106="","",IF(B106='Setup &amp; Summary'!$N$15,J106-H106,I107-$N$5))</f>
        <v/>
      </c>
      <c r="J106" s="22" t="str">
        <f>IF(B106="","",IF(B106='Setup &amp; Summary'!$N$15,INDEX(A!J:J,MATCH(MAX(A!B:B),A!B:B)),I106+H106))</f>
        <v/>
      </c>
      <c r="K106" s="23" t="str">
        <f t="shared" si="6"/>
        <v/>
      </c>
      <c r="M106" s="60" t="str">
        <f>IF(B106="","",IF(B106*2='Setup &amp; Summary'!$N$15,"midstation row!",""))</f>
        <v/>
      </c>
    </row>
    <row r="107" spans="1:13" x14ac:dyDescent="0.2">
      <c r="A107" s="69">
        <f t="shared" si="10"/>
        <v>98</v>
      </c>
      <c r="B107" s="57" t="str">
        <f>IF('Setup &amp; Summary'!$N$15&gt;A107,A!B106+1,"")</f>
        <v/>
      </c>
      <c r="C107" s="71"/>
      <c r="D107" s="72"/>
      <c r="E107" s="72"/>
      <c r="F107" s="25" t="str">
        <f t="shared" si="7"/>
        <v/>
      </c>
      <c r="G107" s="21" t="str">
        <f t="shared" si="8"/>
        <v/>
      </c>
      <c r="H107" s="25" t="str">
        <f t="shared" si="9"/>
        <v/>
      </c>
      <c r="I107" s="68" t="str">
        <f>IF(B107="","",IF(B107='Setup &amp; Summary'!$N$15,J107-H107,I108-$N$5))</f>
        <v/>
      </c>
      <c r="J107" s="22" t="str">
        <f>IF(B107="","",IF(B107='Setup &amp; Summary'!$N$15,INDEX(A!J:J,MATCH(MAX(A!B:B),A!B:B)),I107+H107))</f>
        <v/>
      </c>
      <c r="K107" s="23" t="str">
        <f t="shared" si="6"/>
        <v/>
      </c>
      <c r="M107" s="60" t="str">
        <f>IF(B107="","",IF(B107*2='Setup &amp; Summary'!$N$15,"midstation row!",""))</f>
        <v/>
      </c>
    </row>
    <row r="108" spans="1:13" x14ac:dyDescent="0.2">
      <c r="A108" s="69">
        <f t="shared" si="10"/>
        <v>99</v>
      </c>
      <c r="B108" s="57" t="str">
        <f>IF('Setup &amp; Summary'!$N$15&gt;A108,A!B107+1,"")</f>
        <v/>
      </c>
      <c r="C108" s="71"/>
      <c r="D108" s="72"/>
      <c r="E108" s="72"/>
      <c r="F108" s="25" t="str">
        <f t="shared" si="7"/>
        <v/>
      </c>
      <c r="G108" s="21" t="str">
        <f t="shared" si="8"/>
        <v/>
      </c>
      <c r="H108" s="25" t="str">
        <f t="shared" si="9"/>
        <v/>
      </c>
      <c r="I108" s="68" t="str">
        <f>IF(B108="","",IF(B108='Setup &amp; Summary'!$N$15,J108-H108,I109-$N$5))</f>
        <v/>
      </c>
      <c r="J108" s="22" t="str">
        <f>IF(B108="","",IF(B108='Setup &amp; Summary'!$N$15,INDEX(A!J:J,MATCH(MAX(A!B:B),A!B:B)),I108+H108))</f>
        <v/>
      </c>
      <c r="K108" s="23" t="str">
        <f t="shared" si="6"/>
        <v/>
      </c>
      <c r="M108" s="60" t="str">
        <f>IF(B108="","",IF(B108*2='Setup &amp; Summary'!$N$15,"midstation row!",""))</f>
        <v/>
      </c>
    </row>
    <row r="109" spans="1:13" x14ac:dyDescent="0.2">
      <c r="I109" s="68" t="str">
        <f>IF(B109="","",IF(B109='Setup &amp; Summary'!$N$15,J109-H109,I110-$N$5))</f>
        <v/>
      </c>
    </row>
    <row r="110" spans="1:13" x14ac:dyDescent="0.2">
      <c r="I110" s="68" t="str">
        <f>IF(B110="","",IF(B110='Setup &amp; Summary'!$N$15,J110-H110,I111-$N$5))</f>
        <v/>
      </c>
    </row>
  </sheetData>
  <sheetProtection sheet="1" objects="1" scenarios="1" selectLockedCells="1"/>
  <conditionalFormatting sqref="M10:M108">
    <cfRule type="cellIs" dxfId="31" priority="7" operator="equal">
      <formula>""</formula>
    </cfRule>
    <cfRule type="cellIs" dxfId="30" priority="8" operator="equal">
      <formula>"Midstation Row!"</formula>
    </cfRule>
  </conditionalFormatting>
  <conditionalFormatting sqref="L32:M108 J1:K3 B10:B108 L10:M28 M19:M108 F10:I30 F31:H108 I31:I110">
    <cfRule type="cellIs" dxfId="29" priority="6" operator="equal">
      <formula>""</formula>
    </cfRule>
  </conditionalFormatting>
  <conditionalFormatting sqref="J10:K109">
    <cfRule type="cellIs" dxfId="28" priority="5" operator="equal">
      <formula>""</formula>
    </cfRule>
  </conditionalFormatting>
  <conditionalFormatting sqref="C9:E9">
    <cfRule type="expression" dxfId="27" priority="4">
      <formula>$B9=""</formula>
    </cfRule>
  </conditionalFormatting>
  <conditionalFormatting sqref="C10:E108">
    <cfRule type="expression" dxfId="26" priority="3">
      <formula>$B10=""</formula>
    </cfRule>
  </conditionalFormatting>
  <conditionalFormatting sqref="I10">
    <cfRule type="expression" dxfId="25" priority="2">
      <formula>$M10="Midstation Row!"</formula>
    </cfRule>
  </conditionalFormatting>
  <conditionalFormatting sqref="I10:I110">
    <cfRule type="expression" dxfId="24" priority="1">
      <formula>$M10="Midstation Row!"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8"/>
  <sheetViews>
    <sheetView zoomScale="70" zoomScaleNormal="70" workbookViewId="0">
      <selection activeCell="C9" sqref="C9"/>
    </sheetView>
  </sheetViews>
  <sheetFormatPr defaultRowHeight="12.75" x14ac:dyDescent="0.2"/>
  <cols>
    <col min="1" max="1" width="3.42578125" style="70" customWidth="1"/>
    <col min="13" max="13" width="23.42578125" customWidth="1"/>
    <col min="14" max="14" width="7.5703125" customWidth="1"/>
  </cols>
  <sheetData>
    <row r="1" spans="1:18" x14ac:dyDescent="0.2">
      <c r="A1" s="69"/>
      <c r="B1" s="28"/>
      <c r="C1" s="28"/>
      <c r="D1" s="28"/>
      <c r="E1" s="28"/>
      <c r="F1" s="28"/>
      <c r="G1" s="28"/>
      <c r="H1" s="28"/>
      <c r="I1" s="28"/>
      <c r="J1" s="31">
        <f>MIN(K:K)</f>
        <v>-160.99999999999966</v>
      </c>
      <c r="K1" t="s">
        <v>4</v>
      </c>
      <c r="M1" s="28"/>
      <c r="N1" s="28"/>
      <c r="O1" s="28"/>
      <c r="P1" s="28"/>
      <c r="Q1" s="28"/>
      <c r="R1" s="28"/>
    </row>
    <row r="2" spans="1:18" ht="18" x14ac:dyDescent="0.25">
      <c r="A2" s="69"/>
      <c r="B2" s="1" t="str">
        <f>'Setup &amp; Summary'!P10&amp;"""x"&amp;'Setup &amp; Summary'!P11&amp;""" Plate, "&amp;'Setup &amp; Summary'!N16&amp;""" Foot Pad Distance"</f>
        <v>36"x48" Plate, 2" Foot Pad Distance</v>
      </c>
      <c r="G2" s="2" t="s">
        <v>48</v>
      </c>
      <c r="J2" s="31">
        <f>MAX(K:K)</f>
        <v>71.552083333333513</v>
      </c>
      <c r="K2" t="s">
        <v>5</v>
      </c>
      <c r="P2" s="28"/>
      <c r="Q2" s="28"/>
      <c r="R2" s="28"/>
    </row>
    <row r="3" spans="1:18" x14ac:dyDescent="0.2">
      <c r="A3" s="69"/>
      <c r="J3" s="31">
        <f>ABS(J1-J2)</f>
        <v>232.55208333333317</v>
      </c>
      <c r="K3" t="s">
        <v>6</v>
      </c>
      <c r="P3" s="28"/>
      <c r="Q3" s="28"/>
      <c r="R3" s="28"/>
    </row>
    <row r="4" spans="1:18" ht="13.5" thickBot="1" x14ac:dyDescent="0.25">
      <c r="A4" s="69"/>
      <c r="O4" s="28"/>
      <c r="P4" s="28"/>
      <c r="Q4" s="28"/>
    </row>
    <row r="5" spans="1:18" ht="13.5" thickTop="1" x14ac:dyDescent="0.2">
      <c r="A5" s="69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61" t="s">
        <v>0</v>
      </c>
      <c r="L5" s="66"/>
      <c r="M5" s="6" t="s">
        <v>1</v>
      </c>
      <c r="N5" s="7">
        <f>(INDEX(I:I,MATCH(MAX(B:B),B:B))-I8)/MAX(B:B)</f>
        <v>2.7197916666666697</v>
      </c>
      <c r="O5" s="28"/>
      <c r="P5" s="28"/>
      <c r="Q5" s="28"/>
    </row>
    <row r="6" spans="1:18" ht="13.5" thickBot="1" x14ac:dyDescent="0.25">
      <c r="A6" s="69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62">
        <v>9</v>
      </c>
      <c r="L6" s="66"/>
      <c r="M6" s="11" t="s">
        <v>2</v>
      </c>
      <c r="N6" s="12">
        <f>'Setup &amp; Summary'!$N$16</f>
        <v>2</v>
      </c>
      <c r="O6" s="30"/>
      <c r="P6" s="27"/>
      <c r="Q6" s="28"/>
    </row>
    <row r="7" spans="1:18" ht="13.5" thickTop="1" x14ac:dyDescent="0.2">
      <c r="A7" s="69"/>
      <c r="B7" s="13"/>
      <c r="C7" s="14"/>
      <c r="D7" s="15"/>
      <c r="E7" s="15"/>
      <c r="F7" s="15"/>
      <c r="G7" s="15"/>
      <c r="H7" s="15"/>
      <c r="I7" s="15"/>
      <c r="J7" s="15"/>
      <c r="K7" s="63"/>
      <c r="L7" s="67"/>
      <c r="M7" s="6" t="s">
        <v>3</v>
      </c>
      <c r="N7" s="16">
        <f>N6*5</f>
        <v>10</v>
      </c>
      <c r="O7" s="29"/>
      <c r="P7" s="28"/>
      <c r="Q7" s="28"/>
    </row>
    <row r="8" spans="1:18" x14ac:dyDescent="0.2">
      <c r="A8" s="69"/>
      <c r="B8" s="57" t="s">
        <v>68</v>
      </c>
      <c r="C8" s="17"/>
      <c r="D8" s="18"/>
      <c r="E8" s="18"/>
      <c r="F8" s="19"/>
      <c r="G8" s="19"/>
      <c r="H8" s="20">
        <v>0</v>
      </c>
      <c r="I8" s="25">
        <f>INDEX(A!J:J,MATCH(MAX(A!B:B),A!B:B))</f>
        <v>-6.916666666666667</v>
      </c>
      <c r="J8" s="22">
        <f>IF(B8="","",I8+H8)</f>
        <v>-6.916666666666667</v>
      </c>
      <c r="K8" s="64">
        <f>IF(B8="","",J8*$N$7)</f>
        <v>-69.166666666666671</v>
      </c>
      <c r="L8" s="67"/>
      <c r="N8" s="24"/>
      <c r="O8" s="30"/>
      <c r="P8" s="26"/>
      <c r="Q8" s="28"/>
    </row>
    <row r="9" spans="1:18" x14ac:dyDescent="0.2">
      <c r="A9" s="69"/>
      <c r="B9" s="38">
        <v>1</v>
      </c>
      <c r="C9" s="71">
        <v>8.4</v>
      </c>
      <c r="D9" s="72">
        <v>8.3000000000000007</v>
      </c>
      <c r="E9" s="72">
        <v>8.1</v>
      </c>
      <c r="F9" s="25">
        <f>AVERAGE(C9:E9)</f>
        <v>8.2666666666666675</v>
      </c>
      <c r="G9" s="21">
        <f>F9-$F$9</f>
        <v>0</v>
      </c>
      <c r="H9" s="21">
        <f>H8+G9</f>
        <v>0</v>
      </c>
      <c r="I9" s="25">
        <f>I10-$N$5</f>
        <v>-4.1968749999999932</v>
      </c>
      <c r="J9" s="22">
        <f>IF(B9="","",I9+H9)</f>
        <v>-4.1968749999999932</v>
      </c>
      <c r="K9" s="64">
        <f t="shared" ref="K9:K72" si="0">IF(B9="","",J9*$N$7)</f>
        <v>-41.968749999999929</v>
      </c>
      <c r="L9" s="67"/>
      <c r="P9" s="28"/>
      <c r="Q9" s="28"/>
      <c r="R9" s="28"/>
    </row>
    <row r="10" spans="1:18" x14ac:dyDescent="0.2">
      <c r="A10" s="69">
        <v>1</v>
      </c>
      <c r="B10" s="57">
        <f>IF('Setup &amp; Summary'!$N$14&gt;A10,B9+1,"")</f>
        <v>2</v>
      </c>
      <c r="C10" s="71">
        <v>8.4</v>
      </c>
      <c r="D10" s="72">
        <v>8.1999999999999993</v>
      </c>
      <c r="E10" s="72">
        <v>8.3000000000000007</v>
      </c>
      <c r="F10" s="25">
        <f t="shared" ref="F10:F73" si="1">IF(B10="","",AVERAGE(C10:E10))</f>
        <v>8.3000000000000007</v>
      </c>
      <c r="G10" s="21">
        <f t="shared" ref="G10:G73" si="2">IF(B10="","",F10-$F$9)</f>
        <v>3.3333333333333215E-2</v>
      </c>
      <c r="H10" s="25">
        <f t="shared" ref="H10:H73" si="3">IF(B10="","",H9+G10)</f>
        <v>3.3333333333333215E-2</v>
      </c>
      <c r="I10" s="68">
        <f>IF(B10="","",IF(B10='Setup &amp; Summary'!$N$14,J10-H10,I11-$N$5))</f>
        <v>-1.4770833333333235</v>
      </c>
      <c r="J10" s="22">
        <f>IF(B10="","",IF(B10='Setup &amp; Summary'!$N$14,INDEX(B!J:J,MATCH(MAX(B!B:B),B!B:B)),I10+H10))</f>
        <v>-1.4437499999999903</v>
      </c>
      <c r="K10" s="23">
        <f t="shared" si="0"/>
        <v>-14.437499999999904</v>
      </c>
      <c r="L10" s="65"/>
      <c r="M10" s="60" t="str">
        <f>IF(B10="","",IF(B10*2='Setup &amp; Summary'!$N$14,"midstation row!",""))</f>
        <v/>
      </c>
      <c r="P10" s="28"/>
      <c r="Q10" s="28"/>
      <c r="R10" s="28"/>
    </row>
    <row r="11" spans="1:18" x14ac:dyDescent="0.2">
      <c r="A11" s="69">
        <f>A10+1</f>
        <v>2</v>
      </c>
      <c r="B11" s="57">
        <f>IF('Setup &amp; Summary'!$N$14&gt;A11,B10+1,"")</f>
        <v>3</v>
      </c>
      <c r="C11" s="73">
        <v>8.8000000000000007</v>
      </c>
      <c r="D11" s="72">
        <v>8.6</v>
      </c>
      <c r="E11" s="72">
        <v>8.5</v>
      </c>
      <c r="F11" s="25">
        <f t="shared" si="1"/>
        <v>8.6333333333333329</v>
      </c>
      <c r="G11" s="21">
        <f t="shared" si="2"/>
        <v>0.36666666666666536</v>
      </c>
      <c r="H11" s="25">
        <f t="shared" si="3"/>
        <v>0.39999999999999858</v>
      </c>
      <c r="I11" s="68">
        <f>IF(B11="","",IF(B11='Setup &amp; Summary'!$N$14,J11-H11,I12-$N$5))</f>
        <v>1.2427083333333462</v>
      </c>
      <c r="J11" s="22">
        <f>IF(B11="","",IF(B11='Setup &amp; Summary'!$N$14,INDEX(B!J:J,MATCH(MAX(B!B:B),B!B:B)),I11+H11))</f>
        <v>1.6427083333333448</v>
      </c>
      <c r="K11" s="23">
        <f t="shared" si="0"/>
        <v>16.427083333333449</v>
      </c>
      <c r="L11" s="59"/>
      <c r="M11" s="60" t="str">
        <f>IF(B11="","",IF(B11*2='Setup &amp; Summary'!$N$14,"midstation row!",""))</f>
        <v/>
      </c>
      <c r="P11" s="28"/>
      <c r="Q11" s="28"/>
      <c r="R11" s="28"/>
    </row>
    <row r="12" spans="1:18" x14ac:dyDescent="0.2">
      <c r="A12" s="69">
        <f t="shared" ref="A12:A75" si="4">A11+1</f>
        <v>3</v>
      </c>
      <c r="B12" s="57">
        <f>IF('Setup &amp; Summary'!$N$14&gt;A12,B11+1,"")</f>
        <v>4</v>
      </c>
      <c r="C12" s="71">
        <v>7.8</v>
      </c>
      <c r="D12" s="72">
        <v>7.6</v>
      </c>
      <c r="E12" s="72">
        <v>7.4</v>
      </c>
      <c r="F12" s="25">
        <f t="shared" si="1"/>
        <v>7.5999999999999988</v>
      </c>
      <c r="G12" s="21">
        <f t="shared" si="2"/>
        <v>-0.66666666666666874</v>
      </c>
      <c r="H12" s="25">
        <f t="shared" si="3"/>
        <v>-0.26666666666667016</v>
      </c>
      <c r="I12" s="68">
        <f>IF(B12="","",IF(B12='Setup &amp; Summary'!$N$14,J12-H12,I13-$N$5))</f>
        <v>3.9625000000000159</v>
      </c>
      <c r="J12" s="22">
        <f>IF(B12="","",IF(B12='Setup &amp; Summary'!$N$14,INDEX(B!J:J,MATCH(MAX(B!B:B),B!B:B)),I12+H12))</f>
        <v>3.6958333333333457</v>
      </c>
      <c r="K12" s="23">
        <f t="shared" si="0"/>
        <v>36.958333333333456</v>
      </c>
      <c r="L12" s="59"/>
      <c r="M12" s="60" t="str">
        <f>IF(B12="","",IF(B12*2='Setup &amp; Summary'!$N$14,"midstation row!",""))</f>
        <v/>
      </c>
      <c r="P12" s="28"/>
      <c r="Q12" s="28"/>
      <c r="R12" s="28"/>
    </row>
    <row r="13" spans="1:18" x14ac:dyDescent="0.2">
      <c r="A13" s="69">
        <f t="shared" si="4"/>
        <v>4</v>
      </c>
      <c r="B13" s="57">
        <f>IF('Setup &amp; Summary'!$N$14&gt;A13,B12+1,"")</f>
        <v>5</v>
      </c>
      <c r="C13" s="71">
        <v>8.4</v>
      </c>
      <c r="D13" s="72">
        <v>8</v>
      </c>
      <c r="E13" s="72">
        <v>8.1999999999999993</v>
      </c>
      <c r="F13" s="25">
        <f t="shared" si="1"/>
        <v>8.1999999999999993</v>
      </c>
      <c r="G13" s="21">
        <f t="shared" si="2"/>
        <v>-6.6666666666668206E-2</v>
      </c>
      <c r="H13" s="25">
        <f t="shared" si="3"/>
        <v>-0.33333333333333837</v>
      </c>
      <c r="I13" s="68">
        <f>IF(B13="","",IF(B13='Setup &amp; Summary'!$N$14,J13-H13,I14-$N$5))</f>
        <v>6.6822916666666856</v>
      </c>
      <c r="J13" s="22">
        <f>IF(B13="","",IF(B13='Setup &amp; Summary'!$N$14,INDEX(B!J:J,MATCH(MAX(B!B:B),B!B:B)),I13+H13))</f>
        <v>6.3489583333333472</v>
      </c>
      <c r="K13" s="23">
        <f t="shared" si="0"/>
        <v>63.489583333333471</v>
      </c>
      <c r="L13" s="59"/>
      <c r="M13" s="60" t="str">
        <f>IF(B13="","",IF(B13*2='Setup &amp; Summary'!$N$14,"midstation row!",""))</f>
        <v/>
      </c>
      <c r="P13" s="28"/>
      <c r="Q13" s="28"/>
      <c r="R13" s="28"/>
    </row>
    <row r="14" spans="1:18" x14ac:dyDescent="0.2">
      <c r="A14" s="69">
        <f t="shared" si="4"/>
        <v>5</v>
      </c>
      <c r="B14" s="57">
        <f>IF('Setup &amp; Summary'!$N$14&gt;A14,B13+1,"")</f>
        <v>6</v>
      </c>
      <c r="C14" s="71">
        <v>6</v>
      </c>
      <c r="D14" s="72">
        <v>6</v>
      </c>
      <c r="E14" s="72">
        <v>6.3</v>
      </c>
      <c r="F14" s="25">
        <f t="shared" si="1"/>
        <v>6.1000000000000005</v>
      </c>
      <c r="G14" s="21">
        <f t="shared" si="2"/>
        <v>-2.166666666666667</v>
      </c>
      <c r="H14" s="25">
        <f t="shared" si="3"/>
        <v>-2.5000000000000053</v>
      </c>
      <c r="I14" s="68">
        <f>IF(B14="","",IF(B14='Setup &amp; Summary'!$N$14,J14-H14,I15-$N$5))</f>
        <v>9.4020833333333549</v>
      </c>
      <c r="J14" s="22">
        <f>IF(B14="","",IF(B14='Setup &amp; Summary'!$N$14,INDEX(B!J:J,MATCH(MAX(B!B:B),B!B:B)),I14+H14))</f>
        <v>6.9020833333333496</v>
      </c>
      <c r="K14" s="23">
        <f t="shared" si="0"/>
        <v>69.020833333333499</v>
      </c>
      <c r="L14" s="59"/>
      <c r="M14" s="60" t="str">
        <f>IF(B14="","",IF(B14*2='Setup &amp; Summary'!$N$14,"midstation row!",""))</f>
        <v/>
      </c>
      <c r="P14" s="28"/>
      <c r="Q14" s="28"/>
      <c r="R14" s="28"/>
    </row>
    <row r="15" spans="1:18" x14ac:dyDescent="0.2">
      <c r="A15" s="69">
        <f t="shared" si="4"/>
        <v>6</v>
      </c>
      <c r="B15" s="57">
        <f>IF('Setup &amp; Summary'!$N$14&gt;A15,B14+1,"")</f>
        <v>7</v>
      </c>
      <c r="C15" s="71">
        <v>6</v>
      </c>
      <c r="D15" s="72">
        <v>5.6</v>
      </c>
      <c r="E15" s="72">
        <v>5.8</v>
      </c>
      <c r="F15" s="25">
        <f t="shared" si="1"/>
        <v>5.8</v>
      </c>
      <c r="G15" s="21">
        <f t="shared" si="2"/>
        <v>-2.4666666666666677</v>
      </c>
      <c r="H15" s="25">
        <f t="shared" si="3"/>
        <v>-4.966666666666673</v>
      </c>
      <c r="I15" s="68">
        <f>IF(B15="","",IF(B15='Setup &amp; Summary'!$N$14,J15-H15,I16-$N$5))</f>
        <v>12.121875000000024</v>
      </c>
      <c r="J15" s="22">
        <f>IF(B15="","",IF(B15='Setup &amp; Summary'!$N$14,INDEX(B!J:J,MATCH(MAX(B!B:B),B!B:B)),I15+H15))</f>
        <v>7.1552083333333512</v>
      </c>
      <c r="K15" s="23">
        <f t="shared" si="0"/>
        <v>71.552083333333513</v>
      </c>
      <c r="L15" s="59"/>
      <c r="M15" s="60" t="str">
        <f>IF(B15="","",IF(B15*2='Setup &amp; Summary'!$N$14,"midstation row!",""))</f>
        <v/>
      </c>
      <c r="P15" s="28"/>
      <c r="Q15" s="28"/>
      <c r="R15" s="28"/>
    </row>
    <row r="16" spans="1:18" x14ac:dyDescent="0.2">
      <c r="A16" s="69">
        <f t="shared" si="4"/>
        <v>7</v>
      </c>
      <c r="B16" s="57">
        <f>IF('Setup &amp; Summary'!$N$14&gt;A16,B15+1,"")</f>
        <v>8</v>
      </c>
      <c r="C16" s="71">
        <v>5.3</v>
      </c>
      <c r="D16" s="72">
        <v>5.6</v>
      </c>
      <c r="E16" s="72">
        <v>5.6</v>
      </c>
      <c r="F16" s="25">
        <f t="shared" si="1"/>
        <v>5.5</v>
      </c>
      <c r="G16" s="21">
        <f t="shared" si="2"/>
        <v>-2.7666666666666675</v>
      </c>
      <c r="H16" s="25">
        <f t="shared" si="3"/>
        <v>-7.7333333333333405</v>
      </c>
      <c r="I16" s="68">
        <f>IF(B16="","",IF(B16='Setup &amp; Summary'!$N$14,J16-H16,I17-$N$5))</f>
        <v>14.841666666666693</v>
      </c>
      <c r="J16" s="22">
        <f>IF(B16="","",IF(B16='Setup &amp; Summary'!$N$14,INDEX(B!J:J,MATCH(MAX(B!B:B),B!B:B)),I16+H16))</f>
        <v>7.1083333333333529</v>
      </c>
      <c r="K16" s="23">
        <f t="shared" si="0"/>
        <v>71.083333333333528</v>
      </c>
      <c r="L16" s="59"/>
      <c r="M16" s="60" t="str">
        <f>IF(B16="","",IF(B16*2='Setup &amp; Summary'!$N$14,"midstation row!",""))</f>
        <v>midstation row!</v>
      </c>
      <c r="P16" s="28"/>
      <c r="Q16" s="28"/>
      <c r="R16" s="28"/>
    </row>
    <row r="17" spans="1:18" x14ac:dyDescent="0.2">
      <c r="A17" s="69">
        <f t="shared" si="4"/>
        <v>8</v>
      </c>
      <c r="B17" s="57">
        <f>IF('Setup &amp; Summary'!$N$14&gt;A17,B16+1,"")</f>
        <v>9</v>
      </c>
      <c r="C17" s="71">
        <v>4.4000000000000004</v>
      </c>
      <c r="D17" s="72">
        <v>4.3</v>
      </c>
      <c r="E17" s="72">
        <v>4.4000000000000004</v>
      </c>
      <c r="F17" s="25">
        <f t="shared" si="1"/>
        <v>4.3666666666666663</v>
      </c>
      <c r="G17" s="21">
        <f t="shared" si="2"/>
        <v>-3.9000000000000012</v>
      </c>
      <c r="H17" s="25">
        <f t="shared" si="3"/>
        <v>-11.633333333333342</v>
      </c>
      <c r="I17" s="68">
        <f>IF(B17="","",IF(B17='Setup &amp; Summary'!$N$14,J17-H17,I18-$N$5))</f>
        <v>17.561458333333363</v>
      </c>
      <c r="J17" s="22">
        <f>IF(B17="","",IF(B17='Setup &amp; Summary'!$N$14,INDEX(B!J:J,MATCH(MAX(B!B:B),B!B:B)),I17+H17))</f>
        <v>5.928125000000021</v>
      </c>
      <c r="K17" s="23">
        <f t="shared" si="0"/>
        <v>59.281250000000213</v>
      </c>
      <c r="L17" s="59"/>
      <c r="M17" s="60" t="str">
        <f>IF(B17="","",IF(B17*2='Setup &amp; Summary'!$N$14,"midstation row!",""))</f>
        <v/>
      </c>
      <c r="N17" s="58"/>
      <c r="P17" s="28"/>
      <c r="Q17" s="28"/>
      <c r="R17" s="28"/>
    </row>
    <row r="18" spans="1:18" x14ac:dyDescent="0.2">
      <c r="A18" s="69">
        <f t="shared" si="4"/>
        <v>9</v>
      </c>
      <c r="B18" s="57">
        <f>IF('Setup &amp; Summary'!$N$14&gt;A18,B17+1,"")</f>
        <v>10</v>
      </c>
      <c r="C18" s="71">
        <v>4.0999999999999996</v>
      </c>
      <c r="D18" s="72">
        <v>4.3</v>
      </c>
      <c r="E18" s="72">
        <v>4.2</v>
      </c>
      <c r="F18" s="25">
        <f t="shared" si="1"/>
        <v>4.1999999999999993</v>
      </c>
      <c r="G18" s="21">
        <f t="shared" si="2"/>
        <v>-4.0666666666666682</v>
      </c>
      <c r="H18" s="25">
        <f t="shared" si="3"/>
        <v>-15.70000000000001</v>
      </c>
      <c r="I18" s="68">
        <f>IF(B18="","",IF(B18='Setup &amp; Summary'!$N$14,J18-H18,I19-$N$5))</f>
        <v>20.281250000000032</v>
      </c>
      <c r="J18" s="22">
        <f>IF(B18="","",IF(B18='Setup &amp; Summary'!$N$14,INDEX(B!J:J,MATCH(MAX(B!B:B),B!B:B)),I18+H18))</f>
        <v>4.581250000000022</v>
      </c>
      <c r="K18" s="23">
        <f t="shared" si="0"/>
        <v>45.81250000000022</v>
      </c>
      <c r="L18" s="59"/>
      <c r="M18" s="60" t="str">
        <f>IF(B18="","",IF(B18*2='Setup &amp; Summary'!$N$14,"midstation row!",""))</f>
        <v/>
      </c>
      <c r="P18" s="28"/>
      <c r="Q18" s="28"/>
      <c r="R18" s="28"/>
    </row>
    <row r="19" spans="1:18" x14ac:dyDescent="0.2">
      <c r="A19" s="69">
        <f t="shared" si="4"/>
        <v>10</v>
      </c>
      <c r="B19" s="57">
        <f>IF('Setup &amp; Summary'!$N$14&gt;A19,B18+1,"")</f>
        <v>11</v>
      </c>
      <c r="C19" s="71">
        <v>4.4000000000000004</v>
      </c>
      <c r="D19" s="72">
        <v>4.0999999999999996</v>
      </c>
      <c r="E19" s="72">
        <v>4.4000000000000004</v>
      </c>
      <c r="F19" s="25">
        <f t="shared" si="1"/>
        <v>4.3</v>
      </c>
      <c r="G19" s="21">
        <f t="shared" si="2"/>
        <v>-3.9666666666666677</v>
      </c>
      <c r="H19" s="25">
        <f t="shared" si="3"/>
        <v>-19.666666666666679</v>
      </c>
      <c r="I19" s="68">
        <f>IF(B19="","",IF(B19='Setup &amp; Summary'!$N$14,J19-H19,I20-$N$5))</f>
        <v>23.001041666666701</v>
      </c>
      <c r="J19" s="22">
        <f>IF(B19="","",IF(B19='Setup &amp; Summary'!$N$14,INDEX(B!J:J,MATCH(MAX(B!B:B),B!B:B)),I19+H19))</f>
        <v>3.3343750000000227</v>
      </c>
      <c r="K19" s="23">
        <f t="shared" si="0"/>
        <v>33.343750000000227</v>
      </c>
      <c r="L19" s="59"/>
      <c r="M19" s="60" t="str">
        <f>IF(B19="","",IF(B19*2='Setup &amp; Summary'!$N$14,"midstation row!",""))</f>
        <v/>
      </c>
      <c r="P19" s="28"/>
      <c r="Q19" s="28"/>
      <c r="R19" s="28"/>
    </row>
    <row r="20" spans="1:18" x14ac:dyDescent="0.2">
      <c r="A20" s="69">
        <f t="shared" si="4"/>
        <v>11</v>
      </c>
      <c r="B20" s="57">
        <f>IF('Setup &amp; Summary'!$N$14&gt;A20,B19+1,"")</f>
        <v>12</v>
      </c>
      <c r="C20" s="71">
        <v>2.2000000000000002</v>
      </c>
      <c r="D20" s="72">
        <v>2.2000000000000002</v>
      </c>
      <c r="E20" s="72">
        <v>2.2999999999999998</v>
      </c>
      <c r="F20" s="25">
        <f t="shared" si="1"/>
        <v>2.2333333333333334</v>
      </c>
      <c r="G20" s="21">
        <f t="shared" si="2"/>
        <v>-6.0333333333333341</v>
      </c>
      <c r="H20" s="25">
        <f t="shared" si="3"/>
        <v>-25.700000000000014</v>
      </c>
      <c r="I20" s="68">
        <f>IF(B20="","",IF(B20='Setup &amp; Summary'!$N$14,J20-H20,I21-$N$5))</f>
        <v>25.720833333333371</v>
      </c>
      <c r="J20" s="22">
        <f>IF(B20="","",IF(B20='Setup &amp; Summary'!$N$14,INDEX(B!J:J,MATCH(MAX(B!B:B),B!B:B)),I20+H20))</f>
        <v>2.0833333333357018E-2</v>
      </c>
      <c r="K20" s="23">
        <f t="shared" si="0"/>
        <v>0.20833333333357018</v>
      </c>
      <c r="L20" s="59"/>
      <c r="M20" s="60" t="str">
        <f>IF(B20="","",IF(B20*2='Setup &amp; Summary'!$N$14,"midstation row!",""))</f>
        <v/>
      </c>
      <c r="P20" s="28"/>
      <c r="Q20" s="28"/>
      <c r="R20" s="28"/>
    </row>
    <row r="21" spans="1:18" x14ac:dyDescent="0.2">
      <c r="A21" s="69">
        <f t="shared" si="4"/>
        <v>12</v>
      </c>
      <c r="B21" s="57">
        <f>IF('Setup &amp; Summary'!$N$14&gt;A21,B20+1,"")</f>
        <v>13</v>
      </c>
      <c r="C21" s="71">
        <v>2.6</v>
      </c>
      <c r="D21" s="72">
        <v>2.5</v>
      </c>
      <c r="E21" s="72">
        <v>2.7</v>
      </c>
      <c r="F21" s="25">
        <f t="shared" si="1"/>
        <v>2.6</v>
      </c>
      <c r="G21" s="21">
        <f t="shared" si="2"/>
        <v>-5.6666666666666679</v>
      </c>
      <c r="H21" s="25">
        <f t="shared" si="3"/>
        <v>-31.366666666666681</v>
      </c>
      <c r="I21" s="68">
        <f>IF(B21="","",IF(B21='Setup &amp; Summary'!$N$14,J21-H21,I22-$N$5))</f>
        <v>28.44062500000004</v>
      </c>
      <c r="J21" s="22">
        <f>IF(B21="","",IF(B21='Setup &amp; Summary'!$N$14,INDEX(B!J:J,MATCH(MAX(B!B:B),B!B:B)),I21+H21))</f>
        <v>-2.9260416666666416</v>
      </c>
      <c r="K21" s="23">
        <f t="shared" si="0"/>
        <v>-29.260416666666416</v>
      </c>
      <c r="L21" s="59"/>
      <c r="M21" s="60" t="str">
        <f>IF(B21="","",IF(B21*2='Setup &amp; Summary'!$N$14,"midstation row!",""))</f>
        <v/>
      </c>
      <c r="P21" s="28"/>
      <c r="Q21" s="28"/>
      <c r="R21" s="28"/>
    </row>
    <row r="22" spans="1:18" x14ac:dyDescent="0.2">
      <c r="A22" s="69">
        <f t="shared" si="4"/>
        <v>13</v>
      </c>
      <c r="B22" s="57">
        <f>IF('Setup &amp; Summary'!$N$14&gt;A22,B21+1,"")</f>
        <v>14</v>
      </c>
      <c r="C22" s="71">
        <v>2.1</v>
      </c>
      <c r="D22" s="72">
        <v>2.2999999999999998</v>
      </c>
      <c r="E22" s="72">
        <v>2.2999999999999998</v>
      </c>
      <c r="F22" s="25">
        <f t="shared" si="1"/>
        <v>2.2333333333333334</v>
      </c>
      <c r="G22" s="21">
        <f t="shared" si="2"/>
        <v>-6.0333333333333341</v>
      </c>
      <c r="H22" s="25">
        <f t="shared" si="3"/>
        <v>-37.400000000000013</v>
      </c>
      <c r="I22" s="68">
        <f>IF(B22="","",IF(B22='Setup &amp; Summary'!$N$14,J22-H22,I23-$N$5))</f>
        <v>31.160416666666709</v>
      </c>
      <c r="J22" s="22">
        <f>IF(B22="","",IF(B22='Setup &amp; Summary'!$N$14,INDEX(B!J:J,MATCH(MAX(B!B:B),B!B:B)),I22+H22))</f>
        <v>-6.2395833333333037</v>
      </c>
      <c r="K22" s="23">
        <f t="shared" si="0"/>
        <v>-62.395833333333037</v>
      </c>
      <c r="L22" s="59"/>
      <c r="M22" s="60" t="str">
        <f>IF(B22="","",IF(B22*2='Setup &amp; Summary'!$N$14,"midstation row!",""))</f>
        <v/>
      </c>
      <c r="P22" s="28"/>
      <c r="Q22" s="28"/>
      <c r="R22" s="28"/>
    </row>
    <row r="23" spans="1:18" x14ac:dyDescent="0.2">
      <c r="A23" s="69">
        <f t="shared" si="4"/>
        <v>14</v>
      </c>
      <c r="B23" s="57">
        <f>IF('Setup &amp; Summary'!$N$14&gt;A23,B22+1,"")</f>
        <v>15</v>
      </c>
      <c r="C23" s="71">
        <v>0.4</v>
      </c>
      <c r="D23" s="72">
        <v>0.6</v>
      </c>
      <c r="E23" s="72">
        <v>0.7</v>
      </c>
      <c r="F23" s="25">
        <f t="shared" si="1"/>
        <v>0.56666666666666665</v>
      </c>
      <c r="G23" s="21">
        <f t="shared" si="2"/>
        <v>-7.7000000000000011</v>
      </c>
      <c r="H23" s="25">
        <f t="shared" si="3"/>
        <v>-45.100000000000016</v>
      </c>
      <c r="I23" s="68">
        <f>IF(B23="","",IF(B23='Setup &amp; Summary'!$N$14,J23-H23,I24-$N$5))</f>
        <v>33.880208333333378</v>
      </c>
      <c r="J23" s="22">
        <f>IF(B23="","",IF(B23='Setup &amp; Summary'!$N$14,INDEX(B!J:J,MATCH(MAX(B!B:B),B!B:B)),I23+H23))</f>
        <v>-11.219791666666637</v>
      </c>
      <c r="K23" s="23">
        <f t="shared" si="0"/>
        <v>-112.19791666666637</v>
      </c>
      <c r="L23" s="59"/>
      <c r="M23" s="60" t="str">
        <f>IF(B23="","",IF(B23*2='Setup &amp; Summary'!$N$14,"midstation row!",""))</f>
        <v/>
      </c>
    </row>
    <row r="24" spans="1:18" x14ac:dyDescent="0.2">
      <c r="A24" s="69">
        <f t="shared" si="4"/>
        <v>15</v>
      </c>
      <c r="B24" s="57">
        <f>IF('Setup &amp; Summary'!$N$14&gt;A24,B23+1,"")</f>
        <v>16</v>
      </c>
      <c r="C24" s="71">
        <v>0.5</v>
      </c>
      <c r="D24" s="72">
        <v>0.7</v>
      </c>
      <c r="E24" s="72">
        <v>0.8</v>
      </c>
      <c r="F24" s="25">
        <f t="shared" si="1"/>
        <v>0.66666666666666663</v>
      </c>
      <c r="G24" s="21">
        <f t="shared" si="2"/>
        <v>-7.6000000000000005</v>
      </c>
      <c r="H24" s="25">
        <f t="shared" si="3"/>
        <v>-52.700000000000017</v>
      </c>
      <c r="I24" s="68">
        <f>IF(B24="","",IF(B24='Setup &amp; Summary'!$N$14,J24-H24,I25-$N$5))</f>
        <v>36.600000000000051</v>
      </c>
      <c r="J24" s="22">
        <f>IF(B24="","",IF(B24='Setup &amp; Summary'!$N$14,INDEX(B!J:J,MATCH(MAX(B!B:B),B!B:B)),I24+H24))</f>
        <v>-16.099999999999966</v>
      </c>
      <c r="K24" s="23">
        <f t="shared" si="0"/>
        <v>-160.99999999999966</v>
      </c>
      <c r="L24" s="59"/>
      <c r="M24" s="60" t="str">
        <f>IF(B24="","",IF(B24*2='Setup &amp; Summary'!$N$14,"midstation row!",""))</f>
        <v/>
      </c>
    </row>
    <row r="25" spans="1:18" x14ac:dyDescent="0.2">
      <c r="A25" s="69">
        <f t="shared" si="4"/>
        <v>16</v>
      </c>
      <c r="B25" s="57" t="str">
        <f>IF('Setup &amp; Summary'!$N$14&gt;A25,B24+1,"")</f>
        <v/>
      </c>
      <c r="C25" s="71"/>
      <c r="D25" s="72"/>
      <c r="E25" s="72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68" t="str">
        <f>IF(B25="","",IF(B25='Setup &amp; Summary'!$N$14,J25-H25,I26-$N$5))</f>
        <v/>
      </c>
      <c r="J25" s="22" t="str">
        <f>IF(B25="","",IF(B25='Setup &amp; Summary'!$N$14,INDEX(B!J:J,MATCH(MAX(B!B:B),B!B:B)),I25+H25))</f>
        <v/>
      </c>
      <c r="K25" s="23" t="str">
        <f t="shared" si="0"/>
        <v/>
      </c>
      <c r="L25" s="59"/>
      <c r="M25" s="60" t="str">
        <f>IF(B25="","",IF(B25*2='Setup &amp; Summary'!$N$14,"midstation row!",""))</f>
        <v/>
      </c>
    </row>
    <row r="26" spans="1:18" x14ac:dyDescent="0.2">
      <c r="A26" s="69">
        <f t="shared" si="4"/>
        <v>17</v>
      </c>
      <c r="B26" s="57" t="str">
        <f>IF('Setup &amp; Summary'!$N$14&gt;A26,B25+1,"")</f>
        <v/>
      </c>
      <c r="C26" s="71"/>
      <c r="D26" s="72"/>
      <c r="E26" s="72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68" t="str">
        <f>IF(B26="","",IF(B26='Setup &amp; Summary'!$N$14,J26-H26,I27-$N$5))</f>
        <v/>
      </c>
      <c r="J26" s="22" t="str">
        <f>IF(B26="","",IF(B26='Setup &amp; Summary'!$N$14,INDEX(B!J:J,MATCH(MAX(B!B:B),B!B:B)),I26+H26))</f>
        <v/>
      </c>
      <c r="K26" s="23" t="str">
        <f>IF(B26="","",J26*$N$7)</f>
        <v/>
      </c>
      <c r="L26" s="59"/>
      <c r="M26" s="60" t="str">
        <f>IF(B26="","",IF(B26*2='Setup &amp; Summary'!$N$14,"midstation row!",""))</f>
        <v/>
      </c>
    </row>
    <row r="27" spans="1:18" x14ac:dyDescent="0.2">
      <c r="A27" s="69">
        <f t="shared" si="4"/>
        <v>18</v>
      </c>
      <c r="B27" s="57" t="str">
        <f>IF('Setup &amp; Summary'!$N$14&gt;A27,B26+1,"")</f>
        <v/>
      </c>
      <c r="C27" s="71"/>
      <c r="D27" s="72"/>
      <c r="E27" s="72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68" t="str">
        <f>IF(B27="","",IF(B27='Setup &amp; Summary'!$N$14,J27-H27,I28-$N$5))</f>
        <v/>
      </c>
      <c r="J27" s="22" t="str">
        <f>IF(B27="","",IF(B27='Setup &amp; Summary'!$N$14,INDEX(B!J:J,MATCH(MAX(B!B:B),B!B:B)),I27+H27))</f>
        <v/>
      </c>
      <c r="K27" s="23" t="str">
        <f t="shared" si="0"/>
        <v/>
      </c>
      <c r="M27" s="60" t="str">
        <f>IF(B27="","",IF(B27*2='Setup &amp; Summary'!$N$14,"midstation row!",""))</f>
        <v/>
      </c>
    </row>
    <row r="28" spans="1:18" x14ac:dyDescent="0.2">
      <c r="A28" s="69">
        <f t="shared" si="4"/>
        <v>19</v>
      </c>
      <c r="B28" s="57" t="str">
        <f>IF('Setup &amp; Summary'!$N$14&gt;A28,B27+1,"")</f>
        <v/>
      </c>
      <c r="C28" s="71"/>
      <c r="D28" s="72"/>
      <c r="E28" s="72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68" t="str">
        <f>IF(B28="","",IF(B28='Setup &amp; Summary'!$N$14,J28-H28,I29-$N$5))</f>
        <v/>
      </c>
      <c r="J28" s="22" t="str">
        <f>IF(B28="","",IF(B28='Setup &amp; Summary'!$N$14,INDEX(B!J:J,MATCH(MAX(B!B:B),B!B:B)),I28+H28))</f>
        <v/>
      </c>
      <c r="K28" s="23" t="str">
        <f t="shared" si="0"/>
        <v/>
      </c>
      <c r="M28" s="60" t="str">
        <f>IF(B28="","",IF(B28*2='Setup &amp; Summary'!$N$14,"midstation row!",""))</f>
        <v/>
      </c>
    </row>
    <row r="29" spans="1:18" x14ac:dyDescent="0.2">
      <c r="A29" s="69">
        <f t="shared" si="4"/>
        <v>20</v>
      </c>
      <c r="B29" s="57" t="str">
        <f>IF('Setup &amp; Summary'!$N$14&gt;A29,B28+1,"")</f>
        <v/>
      </c>
      <c r="C29" s="71"/>
      <c r="D29" s="72"/>
      <c r="E29" s="72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68" t="str">
        <f>IF(B29="","",IF(B29='Setup &amp; Summary'!$N$14,J29-H29,I30-$N$5))</f>
        <v/>
      </c>
      <c r="J29" s="22" t="str">
        <f>IF(B29="","",IF(B29='Setup &amp; Summary'!$N$14,INDEX(B!J:J,MATCH(MAX(B!B:B),B!B:B)),I29+H29))</f>
        <v/>
      </c>
      <c r="K29" s="23" t="str">
        <f t="shared" si="0"/>
        <v/>
      </c>
      <c r="M29" s="60" t="str">
        <f>IF(B29="","",IF(B29*2='Setup &amp; Summary'!$N$14,"midstation row!",""))</f>
        <v/>
      </c>
    </row>
    <row r="30" spans="1:18" x14ac:dyDescent="0.2">
      <c r="A30" s="69">
        <f t="shared" si="4"/>
        <v>21</v>
      </c>
      <c r="B30" s="57" t="str">
        <f>IF('Setup &amp; Summary'!$N$14&gt;A30,B29+1,"")</f>
        <v/>
      </c>
      <c r="C30" s="71"/>
      <c r="D30" s="72"/>
      <c r="E30" s="72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68" t="str">
        <f>IF(B30="","",IF(B30='Setup &amp; Summary'!$N$14,J30-H30,I31-$N$5))</f>
        <v/>
      </c>
      <c r="J30" s="22" t="str">
        <f>IF(B30="","",IF(B30='Setup &amp; Summary'!$N$14,INDEX(B!J:J,MATCH(MAX(B!B:B),B!B:B)),I30+H30))</f>
        <v/>
      </c>
      <c r="K30" s="23" t="str">
        <f t="shared" si="0"/>
        <v/>
      </c>
      <c r="M30" s="60" t="str">
        <f>IF(B30="","",IF(B30*2='Setup &amp; Summary'!$N$14,"midstation row!",""))</f>
        <v/>
      </c>
    </row>
    <row r="31" spans="1:18" x14ac:dyDescent="0.2">
      <c r="A31" s="69">
        <f t="shared" si="4"/>
        <v>22</v>
      </c>
      <c r="B31" s="57" t="str">
        <f>IF('Setup &amp; Summary'!$N$14&gt;A31,B30+1,"")</f>
        <v/>
      </c>
      <c r="C31" s="71"/>
      <c r="D31" s="72"/>
      <c r="E31" s="72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68" t="str">
        <f>IF(B31="","",IF(B31='Setup &amp; Summary'!$N$14,J31-H31,I32-$N$5))</f>
        <v/>
      </c>
      <c r="J31" s="22" t="str">
        <f>IF(B31="","",IF(B31='Setup &amp; Summary'!$N$14,INDEX(B!J:J,MATCH(MAX(B!B:B),B!B:B)),I31+H31))</f>
        <v/>
      </c>
      <c r="K31" s="23" t="str">
        <f t="shared" si="0"/>
        <v/>
      </c>
      <c r="M31" s="60" t="str">
        <f>IF(B31="","",IF(B31*2='Setup &amp; Summary'!$N$14,"midstation row!",""))</f>
        <v/>
      </c>
    </row>
    <row r="32" spans="1:18" x14ac:dyDescent="0.2">
      <c r="A32" s="69">
        <f t="shared" si="4"/>
        <v>23</v>
      </c>
      <c r="B32" s="57" t="str">
        <f>IF('Setup &amp; Summary'!$N$14&gt;A32,B31+1,"")</f>
        <v/>
      </c>
      <c r="C32" s="71"/>
      <c r="D32" s="72"/>
      <c r="E32" s="72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68" t="str">
        <f>IF(B32="","",IF(B32='Setup &amp; Summary'!$N$14,J32-H32,I33-$N$5))</f>
        <v/>
      </c>
      <c r="J32" s="22" t="str">
        <f>IF(B32="","",IF(B32='Setup &amp; Summary'!$N$14,INDEX(B!J:J,MATCH(MAX(B!B:B),B!B:B)),I32+H32))</f>
        <v/>
      </c>
      <c r="K32" s="23" t="str">
        <f t="shared" si="0"/>
        <v/>
      </c>
      <c r="M32" s="60" t="str">
        <f>IF(B32="","",IF(B32*2='Setup &amp; Summary'!$N$14,"midstation row!",""))</f>
        <v/>
      </c>
    </row>
    <row r="33" spans="1:13" x14ac:dyDescent="0.2">
      <c r="A33" s="69">
        <f t="shared" si="4"/>
        <v>24</v>
      </c>
      <c r="B33" s="57" t="str">
        <f>IF('Setup &amp; Summary'!$N$14&gt;A33,B32+1,"")</f>
        <v/>
      </c>
      <c r="C33" s="71"/>
      <c r="D33" s="72"/>
      <c r="E33" s="72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68" t="str">
        <f>IF(B33="","",IF(B33='Setup &amp; Summary'!$N$14,J33-H33,I34-$N$5))</f>
        <v/>
      </c>
      <c r="J33" s="22" t="str">
        <f>IF(B33="","",IF(B33='Setup &amp; Summary'!$N$14,INDEX(B!J:J,MATCH(MAX(B!B:B),B!B:B)),I33+H33))</f>
        <v/>
      </c>
      <c r="K33" s="23" t="str">
        <f t="shared" si="0"/>
        <v/>
      </c>
      <c r="M33" s="60" t="str">
        <f>IF(B33="","",IF(B33*2='Setup &amp; Summary'!$N$14,"midstation row!",""))</f>
        <v/>
      </c>
    </row>
    <row r="34" spans="1:13" x14ac:dyDescent="0.2">
      <c r="A34" s="69">
        <f t="shared" si="4"/>
        <v>25</v>
      </c>
      <c r="B34" s="57" t="str">
        <f>IF('Setup &amp; Summary'!$N$14&gt;A34,B33+1,"")</f>
        <v/>
      </c>
      <c r="C34" s="71"/>
      <c r="D34" s="72"/>
      <c r="E34" s="72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68" t="str">
        <f>IF(B34="","",IF(B34='Setup &amp; Summary'!$N$14,J34-H34,I35-$N$5))</f>
        <v/>
      </c>
      <c r="J34" s="22" t="str">
        <f>IF(B34="","",IF(B34='Setup &amp; Summary'!$N$14,INDEX(B!J:J,MATCH(MAX(B!B:B),B!B:B)),I34+H34))</f>
        <v/>
      </c>
      <c r="K34" s="23" t="str">
        <f t="shared" si="0"/>
        <v/>
      </c>
      <c r="M34" s="60" t="str">
        <f>IF(B34="","",IF(B34*2='Setup &amp; Summary'!$N$14,"midstation row!",""))</f>
        <v/>
      </c>
    </row>
    <row r="35" spans="1:13" x14ac:dyDescent="0.2">
      <c r="A35" s="69">
        <f t="shared" si="4"/>
        <v>26</v>
      </c>
      <c r="B35" s="57" t="str">
        <f>IF('Setup &amp; Summary'!$N$14&gt;A35,B34+1,"")</f>
        <v/>
      </c>
      <c r="C35" s="71"/>
      <c r="D35" s="72"/>
      <c r="E35" s="72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68" t="str">
        <f>IF(B35="","",IF(B35='Setup &amp; Summary'!$N$14,J35-H35,I36-$N$5))</f>
        <v/>
      </c>
      <c r="J35" s="22" t="str">
        <f>IF(B35="","",IF(B35='Setup &amp; Summary'!$N$14,INDEX(B!J:J,MATCH(MAX(B!B:B),B!B:B)),I35+H35))</f>
        <v/>
      </c>
      <c r="K35" s="23" t="str">
        <f t="shared" si="0"/>
        <v/>
      </c>
      <c r="M35" s="60" t="str">
        <f>IF(B35="","",IF(B35*2='Setup &amp; Summary'!$N$14,"midstation row!",""))</f>
        <v/>
      </c>
    </row>
    <row r="36" spans="1:13" x14ac:dyDescent="0.2">
      <c r="A36" s="69">
        <f t="shared" si="4"/>
        <v>27</v>
      </c>
      <c r="B36" s="57" t="str">
        <f>IF('Setup &amp; Summary'!$N$14&gt;A36,B35+1,"")</f>
        <v/>
      </c>
      <c r="C36" s="71"/>
      <c r="D36" s="72"/>
      <c r="E36" s="72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68" t="str">
        <f>IF(B36="","",IF(B36='Setup &amp; Summary'!$N$14,J36-H36,I37-$N$5))</f>
        <v/>
      </c>
      <c r="J36" s="22" t="str">
        <f>IF(B36="","",IF(B36='Setup &amp; Summary'!$N$14,INDEX(B!J:J,MATCH(MAX(B!B:B),B!B:B)),I36+H36))</f>
        <v/>
      </c>
      <c r="K36" s="23" t="str">
        <f t="shared" si="0"/>
        <v/>
      </c>
      <c r="M36" s="60" t="str">
        <f>IF(B36="","",IF(B36*2='Setup &amp; Summary'!$N$14,"midstation row!",""))</f>
        <v/>
      </c>
    </row>
    <row r="37" spans="1:13" x14ac:dyDescent="0.2">
      <c r="A37" s="69">
        <f t="shared" si="4"/>
        <v>28</v>
      </c>
      <c r="B37" s="57" t="str">
        <f>IF('Setup &amp; Summary'!$N$14&gt;A37,B36+1,"")</f>
        <v/>
      </c>
      <c r="C37" s="71"/>
      <c r="D37" s="72"/>
      <c r="E37" s="72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68" t="str">
        <f>IF(B37="","",IF(B37='Setup &amp; Summary'!$N$14,J37-H37,I38-$N$5))</f>
        <v/>
      </c>
      <c r="J37" s="22" t="str">
        <f>IF(B37="","",IF(B37='Setup &amp; Summary'!$N$14,INDEX(B!J:J,MATCH(MAX(B!B:B),B!B:B)),I37+H37))</f>
        <v/>
      </c>
      <c r="K37" s="23" t="str">
        <f t="shared" si="0"/>
        <v/>
      </c>
      <c r="M37" s="60" t="str">
        <f>IF(B37="","",IF(B37*2='Setup &amp; Summary'!$N$14,"midstation row!",""))</f>
        <v/>
      </c>
    </row>
    <row r="38" spans="1:13" x14ac:dyDescent="0.2">
      <c r="A38" s="69">
        <f t="shared" si="4"/>
        <v>29</v>
      </c>
      <c r="B38" s="57" t="str">
        <f>IF('Setup &amp; Summary'!$N$14&gt;A38,B37+1,"")</f>
        <v/>
      </c>
      <c r="C38" s="71"/>
      <c r="D38" s="72"/>
      <c r="E38" s="72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68" t="str">
        <f>IF(B38="","",IF(B38='Setup &amp; Summary'!$N$14,J38-H38,I39-$N$5))</f>
        <v/>
      </c>
      <c r="J38" s="22" t="str">
        <f>IF(B38="","",IF(B38='Setup &amp; Summary'!$N$14,INDEX(B!J:J,MATCH(MAX(B!B:B),B!B:B)),I38+H38))</f>
        <v/>
      </c>
      <c r="K38" s="23" t="str">
        <f t="shared" si="0"/>
        <v/>
      </c>
      <c r="M38" s="60" t="str">
        <f>IF(B38="","",IF(B38*2='Setup &amp; Summary'!$N$14,"midstation row!",""))</f>
        <v/>
      </c>
    </row>
    <row r="39" spans="1:13" x14ac:dyDescent="0.2">
      <c r="A39" s="69">
        <f t="shared" si="4"/>
        <v>30</v>
      </c>
      <c r="B39" s="57" t="str">
        <f>IF('Setup &amp; Summary'!$N$14&gt;A39,B38+1,"")</f>
        <v/>
      </c>
      <c r="C39" s="71"/>
      <c r="D39" s="72"/>
      <c r="E39" s="72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68" t="str">
        <f>IF(B39="","",IF(B39='Setup &amp; Summary'!$N$14,J39-H39,I40-$N$5))</f>
        <v/>
      </c>
      <c r="J39" s="22" t="str">
        <f>IF(B39="","",IF(B39='Setup &amp; Summary'!$N$14,INDEX(B!J:J,MATCH(MAX(B!B:B),B!B:B)),I39+H39))</f>
        <v/>
      </c>
      <c r="K39" s="23" t="str">
        <f t="shared" si="0"/>
        <v/>
      </c>
      <c r="M39" s="60" t="str">
        <f>IF(B39="","",IF(B39*2='Setup &amp; Summary'!$N$14,"midstation row!",""))</f>
        <v/>
      </c>
    </row>
    <row r="40" spans="1:13" x14ac:dyDescent="0.2">
      <c r="A40" s="69">
        <f t="shared" si="4"/>
        <v>31</v>
      </c>
      <c r="B40" s="57" t="str">
        <f>IF('Setup &amp; Summary'!$N$14&gt;A40,B39+1,"")</f>
        <v/>
      </c>
      <c r="C40" s="71"/>
      <c r="D40" s="72"/>
      <c r="E40" s="72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68" t="str">
        <f>IF(B40="","",IF(B40='Setup &amp; Summary'!$N$14,J40-H40,I41-$N$5))</f>
        <v/>
      </c>
      <c r="J40" s="22" t="str">
        <f>IF(B40="","",IF(B40='Setup &amp; Summary'!$N$14,INDEX(B!J:J,MATCH(MAX(B!B:B),B!B:B)),I40+H40))</f>
        <v/>
      </c>
      <c r="K40" s="23" t="str">
        <f t="shared" si="0"/>
        <v/>
      </c>
      <c r="M40" s="60" t="str">
        <f>IF(B40="","",IF(B40*2='Setup &amp; Summary'!$N$14,"midstation row!",""))</f>
        <v/>
      </c>
    </row>
    <row r="41" spans="1:13" x14ac:dyDescent="0.2">
      <c r="A41" s="69">
        <f t="shared" si="4"/>
        <v>32</v>
      </c>
      <c r="B41" s="57" t="str">
        <f>IF('Setup &amp; Summary'!$N$14&gt;A41,B40+1,"")</f>
        <v/>
      </c>
      <c r="C41" s="71"/>
      <c r="D41" s="72"/>
      <c r="E41" s="72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68" t="str">
        <f>IF(B41="","",IF(B41='Setup &amp; Summary'!$N$14,J41-H41,I42-$N$5))</f>
        <v/>
      </c>
      <c r="J41" s="22" t="str">
        <f>IF(B41="","",IF(B41='Setup &amp; Summary'!$N$14,INDEX(B!J:J,MATCH(MAX(B!B:B),B!B:B)),I41+H41))</f>
        <v/>
      </c>
      <c r="K41" s="23" t="str">
        <f t="shared" si="0"/>
        <v/>
      </c>
      <c r="M41" s="60" t="str">
        <f>IF(B41="","",IF(B41*2='Setup &amp; Summary'!$N$14,"midstation row!",""))</f>
        <v/>
      </c>
    </row>
    <row r="42" spans="1:13" x14ac:dyDescent="0.2">
      <c r="A42" s="69">
        <f t="shared" si="4"/>
        <v>33</v>
      </c>
      <c r="B42" s="57" t="str">
        <f>IF('Setup &amp; Summary'!$N$14&gt;A42,B41+1,"")</f>
        <v/>
      </c>
      <c r="C42" s="71"/>
      <c r="D42" s="72"/>
      <c r="E42" s="72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68" t="str">
        <f>IF(B42="","",IF(B42='Setup &amp; Summary'!$N$14,J42-H42,I43-$N$5))</f>
        <v/>
      </c>
      <c r="J42" s="22" t="str">
        <f>IF(B42="","",IF(B42='Setup &amp; Summary'!$N$14,INDEX(B!J:J,MATCH(MAX(B!B:B),B!B:B)),I42+H42))</f>
        <v/>
      </c>
      <c r="K42" s="23" t="str">
        <f t="shared" si="0"/>
        <v/>
      </c>
      <c r="M42" s="60" t="str">
        <f>IF(B42="","",IF(B42*2='Setup &amp; Summary'!$N$14,"midstation row!",""))</f>
        <v/>
      </c>
    </row>
    <row r="43" spans="1:13" x14ac:dyDescent="0.2">
      <c r="A43" s="69">
        <f t="shared" si="4"/>
        <v>34</v>
      </c>
      <c r="B43" s="57" t="str">
        <f>IF('Setup &amp; Summary'!$N$14&gt;A43,B42+1,"")</f>
        <v/>
      </c>
      <c r="C43" s="71"/>
      <c r="D43" s="72"/>
      <c r="E43" s="72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68" t="str">
        <f>IF(B43="","",IF(B43='Setup &amp; Summary'!$N$14,J43-H43,I44-$N$5))</f>
        <v/>
      </c>
      <c r="J43" s="22" t="str">
        <f>IF(B43="","",IF(B43='Setup &amp; Summary'!$N$14,INDEX(B!J:J,MATCH(MAX(B!B:B),B!B:B)),I43+H43))</f>
        <v/>
      </c>
      <c r="K43" s="23" t="str">
        <f t="shared" si="0"/>
        <v/>
      </c>
      <c r="M43" s="60" t="str">
        <f>IF(B43="","",IF(B43*2='Setup &amp; Summary'!$N$14,"midstation row!",""))</f>
        <v/>
      </c>
    </row>
    <row r="44" spans="1:13" x14ac:dyDescent="0.2">
      <c r="A44" s="69">
        <f t="shared" si="4"/>
        <v>35</v>
      </c>
      <c r="B44" s="57" t="str">
        <f>IF('Setup &amp; Summary'!$N$14&gt;A44,B43+1,"")</f>
        <v/>
      </c>
      <c r="C44" s="71"/>
      <c r="D44" s="72"/>
      <c r="E44" s="72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68" t="str">
        <f>IF(B44="","",IF(B44='Setup &amp; Summary'!$N$14,J44-H44,I45-$N$5))</f>
        <v/>
      </c>
      <c r="J44" s="22" t="str">
        <f>IF(B44="","",IF(B44='Setup &amp; Summary'!$N$14,INDEX(B!J:J,MATCH(MAX(B!B:B),B!B:B)),I44+H44))</f>
        <v/>
      </c>
      <c r="K44" s="23" t="str">
        <f t="shared" si="0"/>
        <v/>
      </c>
      <c r="M44" s="60" t="str">
        <f>IF(B44="","",IF(B44*2='Setup &amp; Summary'!$N$14,"midstation row!",""))</f>
        <v/>
      </c>
    </row>
    <row r="45" spans="1:13" x14ac:dyDescent="0.2">
      <c r="A45" s="69">
        <f t="shared" si="4"/>
        <v>36</v>
      </c>
      <c r="B45" s="57" t="str">
        <f>IF('Setup &amp; Summary'!$N$14&gt;A45,B44+1,"")</f>
        <v/>
      </c>
      <c r="C45" s="71"/>
      <c r="D45" s="72"/>
      <c r="E45" s="72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68" t="str">
        <f>IF(B45="","",IF(B45='Setup &amp; Summary'!$N$14,J45-H45,I46-$N$5))</f>
        <v/>
      </c>
      <c r="J45" s="22" t="str">
        <f>IF(B45="","",IF(B45='Setup &amp; Summary'!$N$14,INDEX(B!J:J,MATCH(MAX(B!B:B),B!B:B)),I45+H45))</f>
        <v/>
      </c>
      <c r="K45" s="23" t="str">
        <f t="shared" si="0"/>
        <v/>
      </c>
      <c r="M45" s="60" t="str">
        <f>IF(B45="","",IF(B45*2='Setup &amp; Summary'!$N$14,"midstation row!",""))</f>
        <v/>
      </c>
    </row>
    <row r="46" spans="1:13" x14ac:dyDescent="0.2">
      <c r="A46" s="69">
        <f t="shared" si="4"/>
        <v>37</v>
      </c>
      <c r="B46" s="57" t="str">
        <f>IF('Setup &amp; Summary'!$N$14&gt;A46,B45+1,"")</f>
        <v/>
      </c>
      <c r="C46" s="71"/>
      <c r="D46" s="72"/>
      <c r="E46" s="72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68" t="str">
        <f>IF(B46="","",IF(B46='Setup &amp; Summary'!$N$14,J46-H46,I47-$N$5))</f>
        <v/>
      </c>
      <c r="J46" s="22" t="str">
        <f>IF(B46="","",IF(B46='Setup &amp; Summary'!$N$14,INDEX(B!J:J,MATCH(MAX(B!B:B),B!B:B)),I46+H46))</f>
        <v/>
      </c>
      <c r="K46" s="23" t="str">
        <f t="shared" si="0"/>
        <v/>
      </c>
      <c r="M46" s="60" t="str">
        <f>IF(B46="","",IF(B46*2='Setup &amp; Summary'!$N$14,"midstation row!",""))</f>
        <v/>
      </c>
    </row>
    <row r="47" spans="1:13" x14ac:dyDescent="0.2">
      <c r="A47" s="69">
        <f t="shared" si="4"/>
        <v>38</v>
      </c>
      <c r="B47" s="57" t="str">
        <f>IF('Setup &amp; Summary'!$N$14&gt;A47,B46+1,"")</f>
        <v/>
      </c>
      <c r="C47" s="71"/>
      <c r="D47" s="72"/>
      <c r="E47" s="72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68" t="str">
        <f>IF(B47="","",IF(B47='Setup &amp; Summary'!$N$14,J47-H47,I48-$N$5))</f>
        <v/>
      </c>
      <c r="J47" s="22" t="str">
        <f>IF(B47="","",IF(B47='Setup &amp; Summary'!$N$14,INDEX(B!J:J,MATCH(MAX(B!B:B),B!B:B)),I47+H47))</f>
        <v/>
      </c>
      <c r="K47" s="23" t="str">
        <f t="shared" si="0"/>
        <v/>
      </c>
      <c r="M47" s="60" t="str">
        <f>IF(B47="","",IF(B47*2='Setup &amp; Summary'!$N$14,"midstation row!",""))</f>
        <v/>
      </c>
    </row>
    <row r="48" spans="1:13" x14ac:dyDescent="0.2">
      <c r="A48" s="69">
        <f t="shared" si="4"/>
        <v>39</v>
      </c>
      <c r="B48" s="57" t="str">
        <f>IF('Setup &amp; Summary'!$N$14&gt;A48,B47+1,"")</f>
        <v/>
      </c>
      <c r="C48" s="71"/>
      <c r="D48" s="72"/>
      <c r="E48" s="72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68" t="str">
        <f>IF(B48="","",IF(B48='Setup &amp; Summary'!$N$14,J48-H48,I49-$N$5))</f>
        <v/>
      </c>
      <c r="J48" s="22" t="str">
        <f>IF(B48="","",IF(B48='Setup &amp; Summary'!$N$14,INDEX(B!J:J,MATCH(MAX(B!B:B),B!B:B)),I48+H48))</f>
        <v/>
      </c>
      <c r="K48" s="23" t="str">
        <f t="shared" si="0"/>
        <v/>
      </c>
      <c r="M48" s="60" t="str">
        <f>IF(B48="","",IF(B48*2='Setup &amp; Summary'!$N$14,"midstation row!",""))</f>
        <v/>
      </c>
    </row>
    <row r="49" spans="1:13" x14ac:dyDescent="0.2">
      <c r="A49" s="69">
        <f t="shared" si="4"/>
        <v>40</v>
      </c>
      <c r="B49" s="57" t="str">
        <f>IF('Setup &amp; Summary'!$N$14&gt;A49,B48+1,"")</f>
        <v/>
      </c>
      <c r="C49" s="71"/>
      <c r="D49" s="72"/>
      <c r="E49" s="72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68" t="str">
        <f>IF(B49="","",IF(B49='Setup &amp; Summary'!$N$14,J49-H49,I50-$N$5))</f>
        <v/>
      </c>
      <c r="J49" s="22" t="str">
        <f>IF(B49="","",IF(B49='Setup &amp; Summary'!$N$14,INDEX(B!J:J,MATCH(MAX(B!B:B),B!B:B)),I49+H49))</f>
        <v/>
      </c>
      <c r="K49" s="23" t="str">
        <f t="shared" si="0"/>
        <v/>
      </c>
      <c r="M49" s="60" t="str">
        <f>IF(B49="","",IF(B49*2='Setup &amp; Summary'!$N$14,"midstation row!",""))</f>
        <v/>
      </c>
    </row>
    <row r="50" spans="1:13" x14ac:dyDescent="0.2">
      <c r="A50" s="69">
        <f t="shared" si="4"/>
        <v>41</v>
      </c>
      <c r="B50" s="57" t="str">
        <f>IF('Setup &amp; Summary'!$N$14&gt;A50,B49+1,"")</f>
        <v/>
      </c>
      <c r="C50" s="71"/>
      <c r="D50" s="72"/>
      <c r="E50" s="72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68" t="str">
        <f>IF(B50="","",IF(B50='Setup &amp; Summary'!$N$14,J50-H50,I51-$N$5))</f>
        <v/>
      </c>
      <c r="J50" s="22" t="str">
        <f>IF(B50="","",IF(B50='Setup &amp; Summary'!$N$14,INDEX(B!J:J,MATCH(MAX(B!B:B),B!B:B)),I50+H50))</f>
        <v/>
      </c>
      <c r="K50" s="23" t="str">
        <f t="shared" si="0"/>
        <v/>
      </c>
      <c r="M50" s="60" t="str">
        <f>IF(B50="","",IF(B50*2='Setup &amp; Summary'!$N$14,"midstation row!",""))</f>
        <v/>
      </c>
    </row>
    <row r="51" spans="1:13" x14ac:dyDescent="0.2">
      <c r="A51" s="69">
        <f t="shared" si="4"/>
        <v>42</v>
      </c>
      <c r="B51" s="57" t="str">
        <f>IF('Setup &amp; Summary'!$N$14&gt;A51,B50+1,"")</f>
        <v/>
      </c>
      <c r="C51" s="71"/>
      <c r="D51" s="72"/>
      <c r="E51" s="72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68" t="str">
        <f>IF(B51="","",IF(B51='Setup &amp; Summary'!$N$14,J51-H51,I52-$N$5))</f>
        <v/>
      </c>
      <c r="J51" s="22" t="str">
        <f>IF(B51="","",IF(B51='Setup &amp; Summary'!$N$14,INDEX(B!J:J,MATCH(MAX(B!B:B),B!B:B)),I51+H51))</f>
        <v/>
      </c>
      <c r="K51" s="23" t="str">
        <f t="shared" si="0"/>
        <v/>
      </c>
      <c r="M51" s="60" t="str">
        <f>IF(B51="","",IF(B51*2='Setup &amp; Summary'!$N$14,"midstation row!",""))</f>
        <v/>
      </c>
    </row>
    <row r="52" spans="1:13" x14ac:dyDescent="0.2">
      <c r="A52" s="69">
        <f t="shared" si="4"/>
        <v>43</v>
      </c>
      <c r="B52" s="57" t="str">
        <f>IF('Setup &amp; Summary'!$N$14&gt;A52,B51+1,"")</f>
        <v/>
      </c>
      <c r="C52" s="71"/>
      <c r="D52" s="72"/>
      <c r="E52" s="72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68" t="str">
        <f>IF(B52="","",IF(B52='Setup &amp; Summary'!$N$14,J52-H52,I53-$N$5))</f>
        <v/>
      </c>
      <c r="J52" s="22" t="str">
        <f>IF(B52="","",IF(B52='Setup &amp; Summary'!$N$14,INDEX(B!J:J,MATCH(MAX(B!B:B),B!B:B)),I52+H52))</f>
        <v/>
      </c>
      <c r="K52" s="23" t="str">
        <f t="shared" si="0"/>
        <v/>
      </c>
      <c r="M52" s="60" t="str">
        <f>IF(B52="","",IF(B52*2='Setup &amp; Summary'!$N$14,"midstation row!",""))</f>
        <v/>
      </c>
    </row>
    <row r="53" spans="1:13" x14ac:dyDescent="0.2">
      <c r="A53" s="69">
        <f t="shared" si="4"/>
        <v>44</v>
      </c>
      <c r="B53" s="57" t="str">
        <f>IF('Setup &amp; Summary'!$N$14&gt;A53,B52+1,"")</f>
        <v/>
      </c>
      <c r="C53" s="71"/>
      <c r="D53" s="72"/>
      <c r="E53" s="72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68" t="str">
        <f>IF(B53="","",IF(B53='Setup &amp; Summary'!$N$14,J53-H53,I54-$N$5))</f>
        <v/>
      </c>
      <c r="J53" s="22" t="str">
        <f>IF(B53="","",IF(B53='Setup &amp; Summary'!$N$14,INDEX(B!J:J,MATCH(MAX(B!B:B),B!B:B)),I53+H53))</f>
        <v/>
      </c>
      <c r="K53" s="23" t="str">
        <f t="shared" si="0"/>
        <v/>
      </c>
      <c r="M53" s="60" t="str">
        <f>IF(B53="","",IF(B53*2='Setup &amp; Summary'!$N$14,"midstation row!",""))</f>
        <v/>
      </c>
    </row>
    <row r="54" spans="1:13" x14ac:dyDescent="0.2">
      <c r="A54" s="69">
        <f t="shared" si="4"/>
        <v>45</v>
      </c>
      <c r="B54" s="57" t="str">
        <f>IF('Setup &amp; Summary'!$N$14&gt;A54,B53+1,"")</f>
        <v/>
      </c>
      <c r="C54" s="71"/>
      <c r="D54" s="72"/>
      <c r="E54" s="72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68" t="str">
        <f>IF(B54="","",IF(B54='Setup &amp; Summary'!$N$14,J54-H54,I55-$N$5))</f>
        <v/>
      </c>
      <c r="J54" s="22" t="str">
        <f>IF(B54="","",IF(B54='Setup &amp; Summary'!$N$14,INDEX(B!J:J,MATCH(MAX(B!B:B),B!B:B)),I54+H54))</f>
        <v/>
      </c>
      <c r="K54" s="23" t="str">
        <f t="shared" si="0"/>
        <v/>
      </c>
      <c r="M54" s="60" t="str">
        <f>IF(B54="","",IF(B54*2='Setup &amp; Summary'!$N$14,"midstation row!",""))</f>
        <v/>
      </c>
    </row>
    <row r="55" spans="1:13" x14ac:dyDescent="0.2">
      <c r="A55" s="69">
        <f t="shared" si="4"/>
        <v>46</v>
      </c>
      <c r="B55" s="57" t="str">
        <f>IF('Setup &amp; Summary'!$N$14&gt;A55,B54+1,"")</f>
        <v/>
      </c>
      <c r="C55" s="71"/>
      <c r="D55" s="72"/>
      <c r="E55" s="72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68" t="str">
        <f>IF(B55="","",IF(B55='Setup &amp; Summary'!$N$14,J55-H55,I56-$N$5))</f>
        <v/>
      </c>
      <c r="J55" s="22" t="str">
        <f>IF(B55="","",IF(B55='Setup &amp; Summary'!$N$14,INDEX(B!J:J,MATCH(MAX(B!B:B),B!B:B)),I55+H55))</f>
        <v/>
      </c>
      <c r="K55" s="23" t="str">
        <f t="shared" si="0"/>
        <v/>
      </c>
      <c r="M55" s="60" t="str">
        <f>IF(B55="","",IF(B55*2='Setup &amp; Summary'!$N$14,"midstation row!",""))</f>
        <v/>
      </c>
    </row>
    <row r="56" spans="1:13" x14ac:dyDescent="0.2">
      <c r="A56" s="69">
        <f t="shared" si="4"/>
        <v>47</v>
      </c>
      <c r="B56" s="57" t="str">
        <f>IF('Setup &amp; Summary'!$N$14&gt;A56,B55+1,"")</f>
        <v/>
      </c>
      <c r="C56" s="71"/>
      <c r="D56" s="72"/>
      <c r="E56" s="72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68" t="str">
        <f>IF(B56="","",IF(B56='Setup &amp; Summary'!$N$14,J56-H56,I57-$N$5))</f>
        <v/>
      </c>
      <c r="J56" s="22" t="str">
        <f>IF(B56="","",IF(B56='Setup &amp; Summary'!$N$14,INDEX(B!J:J,MATCH(MAX(B!B:B),B!B:B)),I56+H56))</f>
        <v/>
      </c>
      <c r="K56" s="23" t="str">
        <f t="shared" si="0"/>
        <v/>
      </c>
      <c r="M56" s="60" t="str">
        <f>IF(B56="","",IF(B56*2='Setup &amp; Summary'!$N$14,"midstation row!",""))</f>
        <v/>
      </c>
    </row>
    <row r="57" spans="1:13" x14ac:dyDescent="0.2">
      <c r="A57" s="69">
        <f t="shared" si="4"/>
        <v>48</v>
      </c>
      <c r="B57" s="57" t="str">
        <f>IF('Setup &amp; Summary'!$N$14&gt;A57,B56+1,"")</f>
        <v/>
      </c>
      <c r="C57" s="71"/>
      <c r="D57" s="72"/>
      <c r="E57" s="72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68" t="str">
        <f>IF(B57="","",IF(B57='Setup &amp; Summary'!$N$14,J57-H57,I58-$N$5))</f>
        <v/>
      </c>
      <c r="J57" s="22" t="str">
        <f>IF(B57="","",IF(B57='Setup &amp; Summary'!$N$14,INDEX(B!J:J,MATCH(MAX(B!B:B),B!B:B)),I57+H57))</f>
        <v/>
      </c>
      <c r="K57" s="23" t="str">
        <f t="shared" si="0"/>
        <v/>
      </c>
      <c r="M57" s="60" t="str">
        <f>IF(B57="","",IF(B57*2='Setup &amp; Summary'!$N$14,"midstation row!",""))</f>
        <v/>
      </c>
    </row>
    <row r="58" spans="1:13" x14ac:dyDescent="0.2">
      <c r="A58" s="69">
        <f t="shared" si="4"/>
        <v>49</v>
      </c>
      <c r="B58" s="57" t="str">
        <f>IF('Setup &amp; Summary'!$N$14&gt;A58,B57+1,"")</f>
        <v/>
      </c>
      <c r="C58" s="71"/>
      <c r="D58" s="72"/>
      <c r="E58" s="72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68" t="str">
        <f>IF(B58="","",IF(B58='Setup &amp; Summary'!$N$14,J58-H58,I59-$N$5))</f>
        <v/>
      </c>
      <c r="J58" s="22" t="str">
        <f>IF(B58="","",IF(B58='Setup &amp; Summary'!$N$14,INDEX(B!J:J,MATCH(MAX(B!B:B),B!B:B)),I58+H58))</f>
        <v/>
      </c>
      <c r="K58" s="23" t="str">
        <f t="shared" si="0"/>
        <v/>
      </c>
      <c r="M58" s="60" t="str">
        <f>IF(B58="","",IF(B58*2='Setup &amp; Summary'!$N$14,"midstation row!",""))</f>
        <v/>
      </c>
    </row>
    <row r="59" spans="1:13" x14ac:dyDescent="0.2">
      <c r="A59" s="69">
        <f t="shared" si="4"/>
        <v>50</v>
      </c>
      <c r="B59" s="57" t="str">
        <f>IF('Setup &amp; Summary'!$N$14&gt;A59,B58+1,"")</f>
        <v/>
      </c>
      <c r="C59" s="71"/>
      <c r="D59" s="72"/>
      <c r="E59" s="72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68" t="str">
        <f>IF(B59="","",IF(B59='Setup &amp; Summary'!$N$14,J59-H59,I60-$N$5))</f>
        <v/>
      </c>
      <c r="J59" s="22" t="str">
        <f>IF(B59="","",IF(B59='Setup &amp; Summary'!$N$14,INDEX(B!J:J,MATCH(MAX(B!B:B),B!B:B)),I59+H59))</f>
        <v/>
      </c>
      <c r="K59" s="23" t="str">
        <f t="shared" si="0"/>
        <v/>
      </c>
      <c r="M59" s="60" t="str">
        <f>IF(B59="","",IF(B59*2='Setup &amp; Summary'!$N$14,"midstation row!",""))</f>
        <v/>
      </c>
    </row>
    <row r="60" spans="1:13" x14ac:dyDescent="0.2">
      <c r="A60" s="69">
        <f t="shared" si="4"/>
        <v>51</v>
      </c>
      <c r="B60" s="57" t="str">
        <f>IF('Setup &amp; Summary'!$N$14&gt;A60,B59+1,"")</f>
        <v/>
      </c>
      <c r="C60" s="71"/>
      <c r="D60" s="72"/>
      <c r="E60" s="72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68" t="str">
        <f>IF(B60="","",IF(B60='Setup &amp; Summary'!$N$14,J60-H60,I61-$N$5))</f>
        <v/>
      </c>
      <c r="J60" s="22" t="str">
        <f>IF(B60="","",IF(B60='Setup &amp; Summary'!$N$14,INDEX(B!J:J,MATCH(MAX(B!B:B),B!B:B)),I60+H60))</f>
        <v/>
      </c>
      <c r="K60" s="23" t="str">
        <f t="shared" si="0"/>
        <v/>
      </c>
      <c r="M60" s="60" t="str">
        <f>IF(B60="","",IF(B60*2='Setup &amp; Summary'!$N$14,"midstation row!",""))</f>
        <v/>
      </c>
    </row>
    <row r="61" spans="1:13" x14ac:dyDescent="0.2">
      <c r="A61" s="69">
        <f t="shared" si="4"/>
        <v>52</v>
      </c>
      <c r="B61" s="57" t="str">
        <f>IF('Setup &amp; Summary'!$N$14&gt;A61,B60+1,"")</f>
        <v/>
      </c>
      <c r="C61" s="71"/>
      <c r="D61" s="72"/>
      <c r="E61" s="72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68" t="str">
        <f>IF(B61="","",IF(B61='Setup &amp; Summary'!$N$14,J61-H61,I62-$N$5))</f>
        <v/>
      </c>
      <c r="J61" s="22" t="str">
        <f>IF(B61="","",IF(B61='Setup &amp; Summary'!$N$14,INDEX(B!J:J,MATCH(MAX(B!B:B),B!B:B)),I61+H61))</f>
        <v/>
      </c>
      <c r="K61" s="23" t="str">
        <f t="shared" si="0"/>
        <v/>
      </c>
      <c r="M61" s="60" t="str">
        <f>IF(B61="","",IF(B61*2='Setup &amp; Summary'!$N$14,"midstation row!",""))</f>
        <v/>
      </c>
    </row>
    <row r="62" spans="1:13" x14ac:dyDescent="0.2">
      <c r="A62" s="69">
        <f t="shared" si="4"/>
        <v>53</v>
      </c>
      <c r="B62" s="57" t="str">
        <f>IF('Setup &amp; Summary'!$N$14&gt;A62,B61+1,"")</f>
        <v/>
      </c>
      <c r="C62" s="71"/>
      <c r="D62" s="72"/>
      <c r="E62" s="72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68" t="str">
        <f>IF(B62="","",IF(B62='Setup &amp; Summary'!$N$14,J62-H62,I63-$N$5))</f>
        <v/>
      </c>
      <c r="J62" s="22" t="str">
        <f>IF(B62="","",IF(B62='Setup &amp; Summary'!$N$14,INDEX(B!J:J,MATCH(MAX(B!B:B),B!B:B)),I62+H62))</f>
        <v/>
      </c>
      <c r="K62" s="23" t="str">
        <f t="shared" si="0"/>
        <v/>
      </c>
      <c r="M62" s="60" t="str">
        <f>IF(B62="","",IF(B62*2='Setup &amp; Summary'!$N$14,"midstation row!",""))</f>
        <v/>
      </c>
    </row>
    <row r="63" spans="1:13" x14ac:dyDescent="0.2">
      <c r="A63" s="69">
        <f t="shared" si="4"/>
        <v>54</v>
      </c>
      <c r="B63" s="57" t="str">
        <f>IF('Setup &amp; Summary'!$N$14&gt;A63,B62+1,"")</f>
        <v/>
      </c>
      <c r="C63" s="71"/>
      <c r="D63" s="72"/>
      <c r="E63" s="72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68" t="str">
        <f>IF(B63="","",IF(B63='Setup &amp; Summary'!$N$14,J63-H63,I64-$N$5))</f>
        <v/>
      </c>
      <c r="J63" s="22" t="str">
        <f>IF(B63="","",IF(B63='Setup &amp; Summary'!$N$14,INDEX(B!J:J,MATCH(MAX(B!B:B),B!B:B)),I63+H63))</f>
        <v/>
      </c>
      <c r="K63" s="23" t="str">
        <f t="shared" si="0"/>
        <v/>
      </c>
      <c r="M63" s="60" t="str">
        <f>IF(B63="","",IF(B63*2='Setup &amp; Summary'!$N$14,"midstation row!",""))</f>
        <v/>
      </c>
    </row>
    <row r="64" spans="1:13" x14ac:dyDescent="0.2">
      <c r="A64" s="69">
        <f t="shared" si="4"/>
        <v>55</v>
      </c>
      <c r="B64" s="57" t="str">
        <f>IF('Setup &amp; Summary'!$N$14&gt;A64,B63+1,"")</f>
        <v/>
      </c>
      <c r="C64" s="71"/>
      <c r="D64" s="72"/>
      <c r="E64" s="72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68" t="str">
        <f>IF(B64="","",IF(B64='Setup &amp; Summary'!$N$14,J64-H64,I65-$N$5))</f>
        <v/>
      </c>
      <c r="J64" s="22" t="str">
        <f>IF(B64="","",IF(B64='Setup &amp; Summary'!$N$14,INDEX(B!J:J,MATCH(MAX(B!B:B),B!B:B)),I64+H64))</f>
        <v/>
      </c>
      <c r="K64" s="23" t="str">
        <f t="shared" si="0"/>
        <v/>
      </c>
      <c r="M64" s="60" t="str">
        <f>IF(B64="","",IF(B64*2='Setup &amp; Summary'!$N$14,"midstation row!",""))</f>
        <v/>
      </c>
    </row>
    <row r="65" spans="1:13" x14ac:dyDescent="0.2">
      <c r="A65" s="69">
        <f t="shared" si="4"/>
        <v>56</v>
      </c>
      <c r="B65" s="57" t="str">
        <f>IF('Setup &amp; Summary'!$N$14&gt;A65,B64+1,"")</f>
        <v/>
      </c>
      <c r="C65" s="71"/>
      <c r="D65" s="72"/>
      <c r="E65" s="72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68" t="str">
        <f>IF(B65="","",IF(B65='Setup &amp; Summary'!$N$14,J65-H65,I66-$N$5))</f>
        <v/>
      </c>
      <c r="J65" s="22" t="str">
        <f>IF(B65="","",IF(B65='Setup &amp; Summary'!$N$14,INDEX(B!J:J,MATCH(MAX(B!B:B),B!B:B)),I65+H65))</f>
        <v/>
      </c>
      <c r="K65" s="23" t="str">
        <f t="shared" si="0"/>
        <v/>
      </c>
      <c r="M65" s="60" t="str">
        <f>IF(B65="","",IF(B65*2='Setup &amp; Summary'!$N$14,"midstation row!",""))</f>
        <v/>
      </c>
    </row>
    <row r="66" spans="1:13" x14ac:dyDescent="0.2">
      <c r="A66" s="69">
        <f t="shared" si="4"/>
        <v>57</v>
      </c>
      <c r="B66" s="57" t="str">
        <f>IF('Setup &amp; Summary'!$N$14&gt;A66,B65+1,"")</f>
        <v/>
      </c>
      <c r="C66" s="71"/>
      <c r="D66" s="72"/>
      <c r="E66" s="72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68" t="str">
        <f>IF(B66="","",IF(B66='Setup &amp; Summary'!$N$14,J66-H66,I67-$N$5))</f>
        <v/>
      </c>
      <c r="J66" s="22" t="str">
        <f>IF(B66="","",IF(B66='Setup &amp; Summary'!$N$14,INDEX(B!J:J,MATCH(MAX(B!B:B),B!B:B)),I66+H66))</f>
        <v/>
      </c>
      <c r="K66" s="23" t="str">
        <f t="shared" si="0"/>
        <v/>
      </c>
      <c r="M66" s="60" t="str">
        <f>IF(B66="","",IF(B66*2='Setup &amp; Summary'!$N$14,"midstation row!",""))</f>
        <v/>
      </c>
    </row>
    <row r="67" spans="1:13" x14ac:dyDescent="0.2">
      <c r="A67" s="69">
        <f t="shared" si="4"/>
        <v>58</v>
      </c>
      <c r="B67" s="57" t="str">
        <f>IF('Setup &amp; Summary'!$N$14&gt;A67,B66+1,"")</f>
        <v/>
      </c>
      <c r="C67" s="71"/>
      <c r="D67" s="72"/>
      <c r="E67" s="72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68" t="str">
        <f>IF(B67="","",IF(B67='Setup &amp; Summary'!$N$14,J67-H67,I68-$N$5))</f>
        <v/>
      </c>
      <c r="J67" s="22" t="str">
        <f>IF(B67="","",IF(B67='Setup &amp; Summary'!$N$14,INDEX(B!J:J,MATCH(MAX(B!B:B),B!B:B)),I67+H67))</f>
        <v/>
      </c>
      <c r="K67" s="23" t="str">
        <f t="shared" si="0"/>
        <v/>
      </c>
      <c r="M67" s="60" t="str">
        <f>IF(B67="","",IF(B67*2='Setup &amp; Summary'!$N$14,"midstation row!",""))</f>
        <v/>
      </c>
    </row>
    <row r="68" spans="1:13" x14ac:dyDescent="0.2">
      <c r="A68" s="69">
        <f t="shared" si="4"/>
        <v>59</v>
      </c>
      <c r="B68" s="57" t="str">
        <f>IF('Setup &amp; Summary'!$N$14&gt;A68,B67+1,"")</f>
        <v/>
      </c>
      <c r="C68" s="71"/>
      <c r="D68" s="72"/>
      <c r="E68" s="72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68" t="str">
        <f>IF(B68="","",IF(B68='Setup &amp; Summary'!$N$14,J68-H68,I69-$N$5))</f>
        <v/>
      </c>
      <c r="J68" s="22" t="str">
        <f>IF(B68="","",IF(B68='Setup &amp; Summary'!$N$14,INDEX(B!J:J,MATCH(MAX(B!B:B),B!B:B)),I68+H68))</f>
        <v/>
      </c>
      <c r="K68" s="23" t="str">
        <f t="shared" si="0"/>
        <v/>
      </c>
      <c r="M68" s="60" t="str">
        <f>IF(B68="","",IF(B68*2='Setup &amp; Summary'!$N$14,"midstation row!",""))</f>
        <v/>
      </c>
    </row>
    <row r="69" spans="1:13" x14ac:dyDescent="0.2">
      <c r="A69" s="69">
        <f t="shared" si="4"/>
        <v>60</v>
      </c>
      <c r="B69" s="57" t="str">
        <f>IF('Setup &amp; Summary'!$N$14&gt;A69,B68+1,"")</f>
        <v/>
      </c>
      <c r="C69" s="71"/>
      <c r="D69" s="72"/>
      <c r="E69" s="72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68" t="str">
        <f>IF(B69="","",IF(B69='Setup &amp; Summary'!$N$14,J69-H69,I70-$N$5))</f>
        <v/>
      </c>
      <c r="J69" s="22" t="str">
        <f>IF(B69="","",IF(B69='Setup &amp; Summary'!$N$14,INDEX(B!J:J,MATCH(MAX(B!B:B),B!B:B)),I69+H69))</f>
        <v/>
      </c>
      <c r="K69" s="23" t="str">
        <f t="shared" si="0"/>
        <v/>
      </c>
      <c r="M69" s="60" t="str">
        <f>IF(B69="","",IF(B69*2='Setup &amp; Summary'!$N$14,"midstation row!",""))</f>
        <v/>
      </c>
    </row>
    <row r="70" spans="1:13" x14ac:dyDescent="0.2">
      <c r="A70" s="69">
        <f t="shared" si="4"/>
        <v>61</v>
      </c>
      <c r="B70" s="57" t="str">
        <f>IF('Setup &amp; Summary'!$N$14&gt;A70,B69+1,"")</f>
        <v/>
      </c>
      <c r="C70" s="71"/>
      <c r="D70" s="72"/>
      <c r="E70" s="72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68" t="str">
        <f>IF(B70="","",IF(B70='Setup &amp; Summary'!$N$14,J70-H70,I71-$N$5))</f>
        <v/>
      </c>
      <c r="J70" s="22" t="str">
        <f>IF(B70="","",IF(B70='Setup &amp; Summary'!$N$14,INDEX(B!J:J,MATCH(MAX(B!B:B),B!B:B)),I70+H70))</f>
        <v/>
      </c>
      <c r="K70" s="23" t="str">
        <f t="shared" si="0"/>
        <v/>
      </c>
      <c r="M70" s="60" t="str">
        <f>IF(B70="","",IF(B70*2='Setup &amp; Summary'!$N$14,"midstation row!",""))</f>
        <v/>
      </c>
    </row>
    <row r="71" spans="1:13" x14ac:dyDescent="0.2">
      <c r="A71" s="69">
        <f t="shared" si="4"/>
        <v>62</v>
      </c>
      <c r="B71" s="57" t="str">
        <f>IF('Setup &amp; Summary'!$N$14&gt;A71,B70+1,"")</f>
        <v/>
      </c>
      <c r="C71" s="71"/>
      <c r="D71" s="72"/>
      <c r="E71" s="72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68" t="str">
        <f>IF(B71="","",IF(B71='Setup &amp; Summary'!$N$14,J71-H71,I72-$N$5))</f>
        <v/>
      </c>
      <c r="J71" s="22" t="str">
        <f>IF(B71="","",IF(B71='Setup &amp; Summary'!$N$14,INDEX(B!J:J,MATCH(MAX(B!B:B),B!B:B)),I71+H71))</f>
        <v/>
      </c>
      <c r="K71" s="23" t="str">
        <f t="shared" si="0"/>
        <v/>
      </c>
      <c r="M71" s="60" t="str">
        <f>IF(B71="","",IF(B71*2='Setup &amp; Summary'!$N$14,"midstation row!",""))</f>
        <v/>
      </c>
    </row>
    <row r="72" spans="1:13" x14ac:dyDescent="0.2">
      <c r="A72" s="69">
        <f t="shared" si="4"/>
        <v>63</v>
      </c>
      <c r="B72" s="57" t="str">
        <f>IF('Setup &amp; Summary'!$N$14&gt;A72,B71+1,"")</f>
        <v/>
      </c>
      <c r="C72" s="71"/>
      <c r="D72" s="72"/>
      <c r="E72" s="72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68" t="str">
        <f>IF(B72="","",IF(B72='Setup &amp; Summary'!$N$14,J72-H72,I73-$N$5))</f>
        <v/>
      </c>
      <c r="J72" s="22" t="str">
        <f>IF(B72="","",IF(B72='Setup &amp; Summary'!$N$14,INDEX(B!J:J,MATCH(MAX(B!B:B),B!B:B)),I72+H72))</f>
        <v/>
      </c>
      <c r="K72" s="23" t="str">
        <f t="shared" si="0"/>
        <v/>
      </c>
      <c r="M72" s="60" t="str">
        <f>IF(B72="","",IF(B72*2='Setup &amp; Summary'!$N$14,"midstation row!",""))</f>
        <v/>
      </c>
    </row>
    <row r="73" spans="1:13" x14ac:dyDescent="0.2">
      <c r="A73" s="69">
        <f t="shared" si="4"/>
        <v>64</v>
      </c>
      <c r="B73" s="57" t="str">
        <f>IF('Setup &amp; Summary'!$N$14&gt;A73,B72+1,"")</f>
        <v/>
      </c>
      <c r="C73" s="71"/>
      <c r="D73" s="72"/>
      <c r="E73" s="72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68" t="str">
        <f>IF(B73="","",IF(B73='Setup &amp; Summary'!$N$14,J73-H73,I74-$N$5))</f>
        <v/>
      </c>
      <c r="J73" s="22" t="str">
        <f>IF(B73="","",IF(B73='Setup &amp; Summary'!$N$14,INDEX(B!J:J,MATCH(MAX(B!B:B),B!B:B)),I73+H73))</f>
        <v/>
      </c>
      <c r="K73" s="23" t="str">
        <f t="shared" ref="K73:K108" si="5">IF(B73="","",J73*$N$7)</f>
        <v/>
      </c>
      <c r="M73" s="60" t="str">
        <f>IF(B73="","",IF(B73*2='Setup &amp; Summary'!$N$14,"midstation row!",""))</f>
        <v/>
      </c>
    </row>
    <row r="74" spans="1:13" x14ac:dyDescent="0.2">
      <c r="A74" s="69">
        <f t="shared" si="4"/>
        <v>65</v>
      </c>
      <c r="B74" s="57" t="str">
        <f>IF('Setup &amp; Summary'!$N$14&gt;A74,B73+1,"")</f>
        <v/>
      </c>
      <c r="C74" s="71"/>
      <c r="D74" s="72"/>
      <c r="E74" s="72"/>
      <c r="F74" s="25" t="str">
        <f t="shared" ref="F74:F108" si="6">IF(B74="","",AVERAGE(C74:E74))</f>
        <v/>
      </c>
      <c r="G74" s="21" t="str">
        <f t="shared" ref="G74:G108" si="7">IF(B74="","",F74-$F$9)</f>
        <v/>
      </c>
      <c r="H74" s="25" t="str">
        <f t="shared" ref="H74:H108" si="8">IF(B74="","",H73+G74)</f>
        <v/>
      </c>
      <c r="I74" s="68" t="str">
        <f>IF(B74="","",IF(B74='Setup &amp; Summary'!$N$14,J74-H74,I75-$N$5))</f>
        <v/>
      </c>
      <c r="J74" s="22" t="str">
        <f>IF(B74="","",IF(B74='Setup &amp; Summary'!$N$14,INDEX(B!J:J,MATCH(MAX(B!B:B),B!B:B)),I74+H74))</f>
        <v/>
      </c>
      <c r="K74" s="23" t="str">
        <f t="shared" si="5"/>
        <v/>
      </c>
      <c r="M74" s="60" t="str">
        <f>IF(B74="","",IF(B74*2='Setup &amp; Summary'!$N$14,"midstation row!",""))</f>
        <v/>
      </c>
    </row>
    <row r="75" spans="1:13" x14ac:dyDescent="0.2">
      <c r="A75" s="69">
        <f t="shared" si="4"/>
        <v>66</v>
      </c>
      <c r="B75" s="57" t="str">
        <f>IF('Setup &amp; Summary'!$N$14&gt;A75,B74+1,"")</f>
        <v/>
      </c>
      <c r="C75" s="71"/>
      <c r="D75" s="72"/>
      <c r="E75" s="72"/>
      <c r="F75" s="25" t="str">
        <f t="shared" si="6"/>
        <v/>
      </c>
      <c r="G75" s="21" t="str">
        <f t="shared" si="7"/>
        <v/>
      </c>
      <c r="H75" s="25" t="str">
        <f t="shared" si="8"/>
        <v/>
      </c>
      <c r="I75" s="68" t="str">
        <f>IF(B75="","",IF(B75='Setup &amp; Summary'!$N$14,J75-H75,I76-$N$5))</f>
        <v/>
      </c>
      <c r="J75" s="22" t="str">
        <f>IF(B75="","",IF(B75='Setup &amp; Summary'!$N$14,INDEX(B!J:J,MATCH(MAX(B!B:B),B!B:B)),I75+H75))</f>
        <v/>
      </c>
      <c r="K75" s="23" t="str">
        <f t="shared" si="5"/>
        <v/>
      </c>
      <c r="M75" s="60" t="str">
        <f>IF(B75="","",IF(B75*2='Setup &amp; Summary'!$N$14,"midstation row!",""))</f>
        <v/>
      </c>
    </row>
    <row r="76" spans="1:13" x14ac:dyDescent="0.2">
      <c r="A76" s="69">
        <f t="shared" ref="A76:A108" si="9">A75+1</f>
        <v>67</v>
      </c>
      <c r="B76" s="57" t="str">
        <f>IF('Setup &amp; Summary'!$N$14&gt;A76,B75+1,"")</f>
        <v/>
      </c>
      <c r="C76" s="71"/>
      <c r="D76" s="72"/>
      <c r="E76" s="72"/>
      <c r="F76" s="25" t="str">
        <f t="shared" si="6"/>
        <v/>
      </c>
      <c r="G76" s="21" t="str">
        <f t="shared" si="7"/>
        <v/>
      </c>
      <c r="H76" s="25" t="str">
        <f t="shared" si="8"/>
        <v/>
      </c>
      <c r="I76" s="68" t="str">
        <f>IF(B76="","",IF(B76='Setup &amp; Summary'!$N$14,J76-H76,I77-$N$5))</f>
        <v/>
      </c>
      <c r="J76" s="22" t="str">
        <f>IF(B76="","",IF(B76='Setup &amp; Summary'!$N$14,INDEX(B!J:J,MATCH(MAX(B!B:B),B!B:B)),I76+H76))</f>
        <v/>
      </c>
      <c r="K76" s="23" t="str">
        <f t="shared" si="5"/>
        <v/>
      </c>
      <c r="M76" s="60" t="str">
        <f>IF(B76="","",IF(B76*2='Setup &amp; Summary'!$N$14,"midstation row!",""))</f>
        <v/>
      </c>
    </row>
    <row r="77" spans="1:13" x14ac:dyDescent="0.2">
      <c r="A77" s="69">
        <f t="shared" si="9"/>
        <v>68</v>
      </c>
      <c r="B77" s="57" t="str">
        <f>IF('Setup &amp; Summary'!$N$14&gt;A77,B76+1,"")</f>
        <v/>
      </c>
      <c r="C77" s="71"/>
      <c r="D77" s="72"/>
      <c r="E77" s="72"/>
      <c r="F77" s="25" t="str">
        <f t="shared" si="6"/>
        <v/>
      </c>
      <c r="G77" s="21" t="str">
        <f t="shared" si="7"/>
        <v/>
      </c>
      <c r="H77" s="25" t="str">
        <f t="shared" si="8"/>
        <v/>
      </c>
      <c r="I77" s="68" t="str">
        <f>IF(B77="","",IF(B77='Setup &amp; Summary'!$N$14,J77-H77,I78-$N$5))</f>
        <v/>
      </c>
      <c r="J77" s="22" t="str">
        <f>IF(B77="","",IF(B77='Setup &amp; Summary'!$N$14,INDEX(B!J:J,MATCH(MAX(B!B:B),B!B:B)),I77+H77))</f>
        <v/>
      </c>
      <c r="K77" s="23" t="str">
        <f t="shared" si="5"/>
        <v/>
      </c>
      <c r="M77" s="60" t="str">
        <f>IF(B77="","",IF(B77*2='Setup &amp; Summary'!$N$14,"midstation row!",""))</f>
        <v/>
      </c>
    </row>
    <row r="78" spans="1:13" x14ac:dyDescent="0.2">
      <c r="A78" s="69">
        <f t="shared" si="9"/>
        <v>69</v>
      </c>
      <c r="B78" s="57" t="str">
        <f>IF('Setup &amp; Summary'!$N$14&gt;A78,B77+1,"")</f>
        <v/>
      </c>
      <c r="C78" s="71"/>
      <c r="D78" s="72"/>
      <c r="E78" s="72"/>
      <c r="F78" s="25" t="str">
        <f t="shared" si="6"/>
        <v/>
      </c>
      <c r="G78" s="21" t="str">
        <f t="shared" si="7"/>
        <v/>
      </c>
      <c r="H78" s="25" t="str">
        <f t="shared" si="8"/>
        <v/>
      </c>
      <c r="I78" s="68" t="str">
        <f>IF(B78="","",IF(B78='Setup &amp; Summary'!$N$14,J78-H78,I79-$N$5))</f>
        <v/>
      </c>
      <c r="J78" s="22" t="str">
        <f>IF(B78="","",IF(B78='Setup &amp; Summary'!$N$14,INDEX(B!J:J,MATCH(MAX(B!B:B),B!B:B)),I78+H78))</f>
        <v/>
      </c>
      <c r="K78" s="23" t="str">
        <f t="shared" si="5"/>
        <v/>
      </c>
      <c r="M78" s="60" t="str">
        <f>IF(B78="","",IF(B78*2='Setup &amp; Summary'!$N$14,"midstation row!",""))</f>
        <v/>
      </c>
    </row>
    <row r="79" spans="1:13" x14ac:dyDescent="0.2">
      <c r="A79" s="69">
        <f t="shared" si="9"/>
        <v>70</v>
      </c>
      <c r="B79" s="57" t="str">
        <f>IF('Setup &amp; Summary'!$N$14&gt;A79,B78+1,"")</f>
        <v/>
      </c>
      <c r="C79" s="71"/>
      <c r="D79" s="72"/>
      <c r="E79" s="72"/>
      <c r="F79" s="25" t="str">
        <f t="shared" si="6"/>
        <v/>
      </c>
      <c r="G79" s="21" t="str">
        <f t="shared" si="7"/>
        <v/>
      </c>
      <c r="H79" s="25" t="str">
        <f t="shared" si="8"/>
        <v/>
      </c>
      <c r="I79" s="68" t="str">
        <f>IF(B79="","",IF(B79='Setup &amp; Summary'!$N$14,J79-H79,I80-$N$5))</f>
        <v/>
      </c>
      <c r="J79" s="22" t="str">
        <f>IF(B79="","",IF(B79='Setup &amp; Summary'!$N$14,INDEX(B!J:J,MATCH(MAX(B!B:B),B!B:B)),I79+H79))</f>
        <v/>
      </c>
      <c r="K79" s="23" t="str">
        <f t="shared" si="5"/>
        <v/>
      </c>
      <c r="M79" s="60" t="str">
        <f>IF(B79="","",IF(B79*2='Setup &amp; Summary'!$N$14,"midstation row!",""))</f>
        <v/>
      </c>
    </row>
    <row r="80" spans="1:13" x14ac:dyDescent="0.2">
      <c r="A80" s="69">
        <f t="shared" si="9"/>
        <v>71</v>
      </c>
      <c r="B80" s="57" t="str">
        <f>IF('Setup &amp; Summary'!$N$14&gt;A80,B79+1,"")</f>
        <v/>
      </c>
      <c r="C80" s="71"/>
      <c r="D80" s="72"/>
      <c r="E80" s="72"/>
      <c r="F80" s="25" t="str">
        <f t="shared" si="6"/>
        <v/>
      </c>
      <c r="G80" s="21" t="str">
        <f t="shared" si="7"/>
        <v/>
      </c>
      <c r="H80" s="25" t="str">
        <f t="shared" si="8"/>
        <v/>
      </c>
      <c r="I80" s="68" t="str">
        <f>IF(B80="","",IF(B80='Setup &amp; Summary'!$N$14,J80-H80,I81-$N$5))</f>
        <v/>
      </c>
      <c r="J80" s="22" t="str">
        <f>IF(B80="","",IF(B80='Setup &amp; Summary'!$N$14,INDEX(B!J:J,MATCH(MAX(B!B:B),B!B:B)),I80+H80))</f>
        <v/>
      </c>
      <c r="K80" s="23" t="str">
        <f t="shared" si="5"/>
        <v/>
      </c>
      <c r="M80" s="60" t="str">
        <f>IF(B80="","",IF(B80*2='Setup &amp; Summary'!$N$14,"midstation row!",""))</f>
        <v/>
      </c>
    </row>
    <row r="81" spans="1:13" x14ac:dyDescent="0.2">
      <c r="A81" s="69">
        <f t="shared" si="9"/>
        <v>72</v>
      </c>
      <c r="B81" s="57" t="str">
        <f>IF('Setup &amp; Summary'!$N$14&gt;A81,B80+1,"")</f>
        <v/>
      </c>
      <c r="C81" s="71"/>
      <c r="D81" s="72"/>
      <c r="E81" s="72"/>
      <c r="F81" s="25" t="str">
        <f t="shared" si="6"/>
        <v/>
      </c>
      <c r="G81" s="21" t="str">
        <f t="shared" si="7"/>
        <v/>
      </c>
      <c r="H81" s="25" t="str">
        <f t="shared" si="8"/>
        <v/>
      </c>
      <c r="I81" s="68" t="str">
        <f>IF(B81="","",IF(B81='Setup &amp; Summary'!$N$14,J81-H81,I82-$N$5))</f>
        <v/>
      </c>
      <c r="J81" s="22" t="str">
        <f>IF(B81="","",IF(B81='Setup &amp; Summary'!$N$14,INDEX(B!J:J,MATCH(MAX(B!B:B),B!B:B)),I81+H81))</f>
        <v/>
      </c>
      <c r="K81" s="23" t="str">
        <f t="shared" si="5"/>
        <v/>
      </c>
      <c r="M81" s="60" t="str">
        <f>IF(B81="","",IF(B81*2='Setup &amp; Summary'!$N$14,"midstation row!",""))</f>
        <v/>
      </c>
    </row>
    <row r="82" spans="1:13" x14ac:dyDescent="0.2">
      <c r="A82" s="69">
        <f t="shared" si="9"/>
        <v>73</v>
      </c>
      <c r="B82" s="57" t="str">
        <f>IF('Setup &amp; Summary'!$N$14&gt;A82,B81+1,"")</f>
        <v/>
      </c>
      <c r="C82" s="71"/>
      <c r="D82" s="72"/>
      <c r="E82" s="72"/>
      <c r="F82" s="25" t="str">
        <f t="shared" si="6"/>
        <v/>
      </c>
      <c r="G82" s="21" t="str">
        <f t="shared" si="7"/>
        <v/>
      </c>
      <c r="H82" s="25" t="str">
        <f t="shared" si="8"/>
        <v/>
      </c>
      <c r="I82" s="68" t="str">
        <f>IF(B82="","",IF(B82='Setup &amp; Summary'!$N$14,J82-H82,I83-$N$5))</f>
        <v/>
      </c>
      <c r="J82" s="22" t="str">
        <f>IF(B82="","",IF(B82='Setup &amp; Summary'!$N$14,INDEX(B!J:J,MATCH(MAX(B!B:B),B!B:B)),I82+H82))</f>
        <v/>
      </c>
      <c r="K82" s="23" t="str">
        <f t="shared" si="5"/>
        <v/>
      </c>
      <c r="M82" s="60" t="str">
        <f>IF(B82="","",IF(B82*2='Setup &amp; Summary'!$N$14,"midstation row!",""))</f>
        <v/>
      </c>
    </row>
    <row r="83" spans="1:13" x14ac:dyDescent="0.2">
      <c r="A83" s="69">
        <f t="shared" si="9"/>
        <v>74</v>
      </c>
      <c r="B83" s="57" t="str">
        <f>IF('Setup &amp; Summary'!$N$14&gt;A83,B82+1,"")</f>
        <v/>
      </c>
      <c r="C83" s="71"/>
      <c r="D83" s="72"/>
      <c r="E83" s="72"/>
      <c r="F83" s="25" t="str">
        <f t="shared" si="6"/>
        <v/>
      </c>
      <c r="G83" s="21" t="str">
        <f t="shared" si="7"/>
        <v/>
      </c>
      <c r="H83" s="25" t="str">
        <f t="shared" si="8"/>
        <v/>
      </c>
      <c r="I83" s="68" t="str">
        <f>IF(B83="","",IF(B83='Setup &amp; Summary'!$N$14,J83-H83,I84-$N$5))</f>
        <v/>
      </c>
      <c r="J83" s="22" t="str">
        <f>IF(B83="","",IF(B83='Setup &amp; Summary'!$N$14,INDEX(B!J:J,MATCH(MAX(B!B:B),B!B:B)),I83+H83))</f>
        <v/>
      </c>
      <c r="K83" s="23" t="str">
        <f t="shared" si="5"/>
        <v/>
      </c>
      <c r="M83" s="60" t="str">
        <f>IF(B83="","",IF(B83*2='Setup &amp; Summary'!$N$14,"midstation row!",""))</f>
        <v/>
      </c>
    </row>
    <row r="84" spans="1:13" x14ac:dyDescent="0.2">
      <c r="A84" s="69">
        <f t="shared" si="9"/>
        <v>75</v>
      </c>
      <c r="B84" s="57" t="str">
        <f>IF('Setup &amp; Summary'!$N$14&gt;A84,B83+1,"")</f>
        <v/>
      </c>
      <c r="C84" s="71"/>
      <c r="D84" s="72"/>
      <c r="E84" s="72"/>
      <c r="F84" s="25" t="str">
        <f t="shared" si="6"/>
        <v/>
      </c>
      <c r="G84" s="21" t="str">
        <f t="shared" si="7"/>
        <v/>
      </c>
      <c r="H84" s="25" t="str">
        <f t="shared" si="8"/>
        <v/>
      </c>
      <c r="I84" s="68" t="str">
        <f>IF(B84="","",IF(B84='Setup &amp; Summary'!$N$14,J84-H84,I85-$N$5))</f>
        <v/>
      </c>
      <c r="J84" s="22" t="str">
        <f>IF(B84="","",IF(B84='Setup &amp; Summary'!$N$14,INDEX(B!J:J,MATCH(MAX(B!B:B),B!B:B)),I84+H84))</f>
        <v/>
      </c>
      <c r="K84" s="23" t="str">
        <f t="shared" si="5"/>
        <v/>
      </c>
      <c r="M84" s="60" t="str">
        <f>IF(B84="","",IF(B84*2='Setup &amp; Summary'!$N$14,"midstation row!",""))</f>
        <v/>
      </c>
    </row>
    <row r="85" spans="1:13" x14ac:dyDescent="0.2">
      <c r="A85" s="69">
        <f t="shared" si="9"/>
        <v>76</v>
      </c>
      <c r="B85" s="57" t="str">
        <f>IF('Setup &amp; Summary'!$N$14&gt;A85,B84+1,"")</f>
        <v/>
      </c>
      <c r="C85" s="71"/>
      <c r="D85" s="72"/>
      <c r="E85" s="72"/>
      <c r="F85" s="25" t="str">
        <f t="shared" si="6"/>
        <v/>
      </c>
      <c r="G85" s="21" t="str">
        <f t="shared" si="7"/>
        <v/>
      </c>
      <c r="H85" s="25" t="str">
        <f t="shared" si="8"/>
        <v/>
      </c>
      <c r="I85" s="68" t="str">
        <f>IF(B85="","",IF(B85='Setup &amp; Summary'!$N$14,J85-H85,I86-$N$5))</f>
        <v/>
      </c>
      <c r="J85" s="22" t="str">
        <f>IF(B85="","",IF(B85='Setup &amp; Summary'!$N$14,INDEX(B!J:J,MATCH(MAX(B!B:B),B!B:B)),I85+H85))</f>
        <v/>
      </c>
      <c r="K85" s="23" t="str">
        <f t="shared" si="5"/>
        <v/>
      </c>
      <c r="M85" s="60" t="str">
        <f>IF(B85="","",IF(B85*2='Setup &amp; Summary'!$N$14,"midstation row!",""))</f>
        <v/>
      </c>
    </row>
    <row r="86" spans="1:13" x14ac:dyDescent="0.2">
      <c r="A86" s="69">
        <f t="shared" si="9"/>
        <v>77</v>
      </c>
      <c r="B86" s="57" t="str">
        <f>IF('Setup &amp; Summary'!$N$14&gt;A86,B85+1,"")</f>
        <v/>
      </c>
      <c r="C86" s="71"/>
      <c r="D86" s="72"/>
      <c r="E86" s="72"/>
      <c r="F86" s="25" t="str">
        <f t="shared" si="6"/>
        <v/>
      </c>
      <c r="G86" s="21" t="str">
        <f t="shared" si="7"/>
        <v/>
      </c>
      <c r="H86" s="25" t="str">
        <f t="shared" si="8"/>
        <v/>
      </c>
      <c r="I86" s="68" t="str">
        <f>IF(B86="","",IF(B86='Setup &amp; Summary'!$N$14,J86-H86,I87-$N$5))</f>
        <v/>
      </c>
      <c r="J86" s="22" t="str">
        <f>IF(B86="","",IF(B86='Setup &amp; Summary'!$N$14,INDEX(B!J:J,MATCH(MAX(B!B:B),B!B:B)),I86+H86))</f>
        <v/>
      </c>
      <c r="K86" s="23" t="str">
        <f t="shared" si="5"/>
        <v/>
      </c>
      <c r="M86" s="60" t="str">
        <f>IF(B86="","",IF(B86*2='Setup &amp; Summary'!$N$14,"midstation row!",""))</f>
        <v/>
      </c>
    </row>
    <row r="87" spans="1:13" x14ac:dyDescent="0.2">
      <c r="A87" s="69">
        <f t="shared" si="9"/>
        <v>78</v>
      </c>
      <c r="B87" s="57" t="str">
        <f>IF('Setup &amp; Summary'!$N$14&gt;A87,B86+1,"")</f>
        <v/>
      </c>
      <c r="C87" s="71"/>
      <c r="D87" s="72"/>
      <c r="E87" s="72"/>
      <c r="F87" s="25" t="str">
        <f t="shared" si="6"/>
        <v/>
      </c>
      <c r="G87" s="21" t="str">
        <f t="shared" si="7"/>
        <v/>
      </c>
      <c r="H87" s="25" t="str">
        <f t="shared" si="8"/>
        <v/>
      </c>
      <c r="I87" s="68" t="str">
        <f>IF(B87="","",IF(B87='Setup &amp; Summary'!$N$14,J87-H87,I88-$N$5))</f>
        <v/>
      </c>
      <c r="J87" s="22" t="str">
        <f>IF(B87="","",IF(B87='Setup &amp; Summary'!$N$14,INDEX(B!J:J,MATCH(MAX(B!B:B),B!B:B)),I87+H87))</f>
        <v/>
      </c>
      <c r="K87" s="23" t="str">
        <f t="shared" si="5"/>
        <v/>
      </c>
      <c r="M87" s="60" t="str">
        <f>IF(B87="","",IF(B87*2='Setup &amp; Summary'!$N$14,"midstation row!",""))</f>
        <v/>
      </c>
    </row>
    <row r="88" spans="1:13" x14ac:dyDescent="0.2">
      <c r="A88" s="69">
        <f t="shared" si="9"/>
        <v>79</v>
      </c>
      <c r="B88" s="57" t="str">
        <f>IF('Setup &amp; Summary'!$N$14&gt;A88,B87+1,"")</f>
        <v/>
      </c>
      <c r="C88" s="71"/>
      <c r="D88" s="72"/>
      <c r="E88" s="72"/>
      <c r="F88" s="25" t="str">
        <f t="shared" si="6"/>
        <v/>
      </c>
      <c r="G88" s="21" t="str">
        <f t="shared" si="7"/>
        <v/>
      </c>
      <c r="H88" s="25" t="str">
        <f t="shared" si="8"/>
        <v/>
      </c>
      <c r="I88" s="68" t="str">
        <f>IF(B88="","",IF(B88='Setup &amp; Summary'!$N$14,J88-H88,I89-$N$5))</f>
        <v/>
      </c>
      <c r="J88" s="22" t="str">
        <f>IF(B88="","",IF(B88='Setup &amp; Summary'!$N$14,INDEX(B!J:J,MATCH(MAX(B!B:B),B!B:B)),I88+H88))</f>
        <v/>
      </c>
      <c r="K88" s="23" t="str">
        <f t="shared" si="5"/>
        <v/>
      </c>
      <c r="M88" s="60" t="str">
        <f>IF(B88="","",IF(B88*2='Setup &amp; Summary'!$N$14,"midstation row!",""))</f>
        <v/>
      </c>
    </row>
    <row r="89" spans="1:13" x14ac:dyDescent="0.2">
      <c r="A89" s="69">
        <f t="shared" si="9"/>
        <v>80</v>
      </c>
      <c r="B89" s="57" t="str">
        <f>IF('Setup &amp; Summary'!$N$14&gt;A89,B88+1,"")</f>
        <v/>
      </c>
      <c r="C89" s="71"/>
      <c r="D89" s="72"/>
      <c r="E89" s="72"/>
      <c r="F89" s="25" t="str">
        <f t="shared" si="6"/>
        <v/>
      </c>
      <c r="G89" s="21" t="str">
        <f t="shared" si="7"/>
        <v/>
      </c>
      <c r="H89" s="25" t="str">
        <f t="shared" si="8"/>
        <v/>
      </c>
      <c r="I89" s="68" t="str">
        <f>IF(B89="","",IF(B89='Setup &amp; Summary'!$N$14,J89-H89,I90-$N$5))</f>
        <v/>
      </c>
      <c r="J89" s="22" t="str">
        <f>IF(B89="","",IF(B89='Setup &amp; Summary'!$N$14,INDEX(B!J:J,MATCH(MAX(B!B:B),B!B:B)),I89+H89))</f>
        <v/>
      </c>
      <c r="K89" s="23" t="str">
        <f t="shared" si="5"/>
        <v/>
      </c>
      <c r="M89" s="60" t="str">
        <f>IF(B89="","",IF(B89*2='Setup &amp; Summary'!$N$14,"midstation row!",""))</f>
        <v/>
      </c>
    </row>
    <row r="90" spans="1:13" x14ac:dyDescent="0.2">
      <c r="A90" s="69">
        <f t="shared" si="9"/>
        <v>81</v>
      </c>
      <c r="B90" s="57" t="str">
        <f>IF('Setup &amp; Summary'!$N$14&gt;A90,B89+1,"")</f>
        <v/>
      </c>
      <c r="C90" s="71"/>
      <c r="D90" s="72"/>
      <c r="E90" s="72"/>
      <c r="F90" s="25" t="str">
        <f t="shared" si="6"/>
        <v/>
      </c>
      <c r="G90" s="21" t="str">
        <f t="shared" si="7"/>
        <v/>
      </c>
      <c r="H90" s="25" t="str">
        <f t="shared" si="8"/>
        <v/>
      </c>
      <c r="I90" s="68" t="str">
        <f>IF(B90="","",IF(B90='Setup &amp; Summary'!$N$14,J90-H90,I91-$N$5))</f>
        <v/>
      </c>
      <c r="J90" s="22" t="str">
        <f>IF(B90="","",IF(B90='Setup &amp; Summary'!$N$14,INDEX(B!J:J,MATCH(MAX(B!B:B),B!B:B)),I90+H90))</f>
        <v/>
      </c>
      <c r="K90" s="23" t="str">
        <f t="shared" si="5"/>
        <v/>
      </c>
      <c r="M90" s="60" t="str">
        <f>IF(B90="","",IF(B90*2='Setup &amp; Summary'!$N$14,"midstation row!",""))</f>
        <v/>
      </c>
    </row>
    <row r="91" spans="1:13" x14ac:dyDescent="0.2">
      <c r="A91" s="69">
        <f t="shared" si="9"/>
        <v>82</v>
      </c>
      <c r="B91" s="57" t="str">
        <f>IF('Setup &amp; Summary'!$N$14&gt;A91,B90+1,"")</f>
        <v/>
      </c>
      <c r="C91" s="71"/>
      <c r="D91" s="72"/>
      <c r="E91" s="72"/>
      <c r="F91" s="25" t="str">
        <f t="shared" si="6"/>
        <v/>
      </c>
      <c r="G91" s="21" t="str">
        <f t="shared" si="7"/>
        <v/>
      </c>
      <c r="H91" s="25" t="str">
        <f t="shared" si="8"/>
        <v/>
      </c>
      <c r="I91" s="68" t="str">
        <f>IF(B91="","",IF(B91='Setup &amp; Summary'!$N$14,J91-H91,I92-$N$5))</f>
        <v/>
      </c>
      <c r="J91" s="22" t="str">
        <f>IF(B91="","",IF(B91='Setup &amp; Summary'!$N$14,INDEX(B!J:J,MATCH(MAX(B!B:B),B!B:B)),I91+H91))</f>
        <v/>
      </c>
      <c r="K91" s="23" t="str">
        <f t="shared" si="5"/>
        <v/>
      </c>
      <c r="M91" s="60" t="str">
        <f>IF(B91="","",IF(B91*2='Setup &amp; Summary'!$N$14,"midstation row!",""))</f>
        <v/>
      </c>
    </row>
    <row r="92" spans="1:13" x14ac:dyDescent="0.2">
      <c r="A92" s="69">
        <f t="shared" si="9"/>
        <v>83</v>
      </c>
      <c r="B92" s="57" t="str">
        <f>IF('Setup &amp; Summary'!$N$14&gt;A92,B91+1,"")</f>
        <v/>
      </c>
      <c r="C92" s="71"/>
      <c r="D92" s="72"/>
      <c r="E92" s="72"/>
      <c r="F92" s="25" t="str">
        <f t="shared" si="6"/>
        <v/>
      </c>
      <c r="G92" s="21" t="str">
        <f t="shared" si="7"/>
        <v/>
      </c>
      <c r="H92" s="25" t="str">
        <f t="shared" si="8"/>
        <v/>
      </c>
      <c r="I92" s="68" t="str">
        <f>IF(B92="","",IF(B92='Setup &amp; Summary'!$N$14,J92-H92,I93-$N$5))</f>
        <v/>
      </c>
      <c r="J92" s="22" t="str">
        <f>IF(B92="","",IF(B92='Setup &amp; Summary'!$N$14,INDEX(B!J:J,MATCH(MAX(B!B:B),B!B:B)),I92+H92))</f>
        <v/>
      </c>
      <c r="K92" s="23" t="str">
        <f t="shared" si="5"/>
        <v/>
      </c>
      <c r="M92" s="60" t="str">
        <f>IF(B92="","",IF(B92*2='Setup &amp; Summary'!$N$14,"midstation row!",""))</f>
        <v/>
      </c>
    </row>
    <row r="93" spans="1:13" x14ac:dyDescent="0.2">
      <c r="A93" s="69">
        <f t="shared" si="9"/>
        <v>84</v>
      </c>
      <c r="B93" s="57" t="str">
        <f>IF('Setup &amp; Summary'!$N$14&gt;A93,B92+1,"")</f>
        <v/>
      </c>
      <c r="C93" s="71"/>
      <c r="D93" s="72"/>
      <c r="E93" s="72"/>
      <c r="F93" s="25" t="str">
        <f t="shared" si="6"/>
        <v/>
      </c>
      <c r="G93" s="21" t="str">
        <f t="shared" si="7"/>
        <v/>
      </c>
      <c r="H93" s="25" t="str">
        <f t="shared" si="8"/>
        <v/>
      </c>
      <c r="I93" s="68" t="str">
        <f>IF(B93="","",IF(B93='Setup &amp; Summary'!$N$14,J93-H93,I94-$N$5))</f>
        <v/>
      </c>
      <c r="J93" s="22" t="str">
        <f>IF(B93="","",IF(B93='Setup &amp; Summary'!$N$14,INDEX(B!J:J,MATCH(MAX(B!B:B),B!B:B)),I93+H93))</f>
        <v/>
      </c>
      <c r="K93" s="23" t="str">
        <f t="shared" si="5"/>
        <v/>
      </c>
      <c r="M93" s="60" t="str">
        <f>IF(B93="","",IF(B93*2='Setup &amp; Summary'!$N$14,"midstation row!",""))</f>
        <v/>
      </c>
    </row>
    <row r="94" spans="1:13" x14ac:dyDescent="0.2">
      <c r="A94" s="69">
        <f t="shared" si="9"/>
        <v>85</v>
      </c>
      <c r="B94" s="57" t="str">
        <f>IF('Setup &amp; Summary'!$N$14&gt;A94,B93+1,"")</f>
        <v/>
      </c>
      <c r="C94" s="71"/>
      <c r="D94" s="72"/>
      <c r="E94" s="72"/>
      <c r="F94" s="25" t="str">
        <f t="shared" si="6"/>
        <v/>
      </c>
      <c r="G94" s="21" t="str">
        <f t="shared" si="7"/>
        <v/>
      </c>
      <c r="H94" s="25" t="str">
        <f t="shared" si="8"/>
        <v/>
      </c>
      <c r="I94" s="68" t="str">
        <f>IF(B94="","",IF(B94='Setup &amp; Summary'!$N$14,J94-H94,I95-$N$5))</f>
        <v/>
      </c>
      <c r="J94" s="22" t="str">
        <f>IF(B94="","",IF(B94='Setup &amp; Summary'!$N$14,INDEX(B!J:J,MATCH(MAX(B!B:B),B!B:B)),I94+H94))</f>
        <v/>
      </c>
      <c r="K94" s="23" t="str">
        <f t="shared" si="5"/>
        <v/>
      </c>
      <c r="M94" s="60" t="str">
        <f>IF(B94="","",IF(B94*2='Setup &amp; Summary'!$N$14,"midstation row!",""))</f>
        <v/>
      </c>
    </row>
    <row r="95" spans="1:13" x14ac:dyDescent="0.2">
      <c r="A95" s="69">
        <f t="shared" si="9"/>
        <v>86</v>
      </c>
      <c r="B95" s="57" t="str">
        <f>IF('Setup &amp; Summary'!$N$14&gt;A95,B94+1,"")</f>
        <v/>
      </c>
      <c r="C95" s="71"/>
      <c r="D95" s="72"/>
      <c r="E95" s="72"/>
      <c r="F95" s="25" t="str">
        <f t="shared" si="6"/>
        <v/>
      </c>
      <c r="G95" s="21" t="str">
        <f t="shared" si="7"/>
        <v/>
      </c>
      <c r="H95" s="25" t="str">
        <f t="shared" si="8"/>
        <v/>
      </c>
      <c r="I95" s="68" t="str">
        <f>IF(B95="","",IF(B95='Setup &amp; Summary'!$N$14,J95-H95,I96-$N$5))</f>
        <v/>
      </c>
      <c r="J95" s="22" t="str">
        <f>IF(B95="","",IF(B95='Setup &amp; Summary'!$N$14,INDEX(B!J:J,MATCH(MAX(B!B:B),B!B:B)),I95+H95))</f>
        <v/>
      </c>
      <c r="K95" s="23" t="str">
        <f t="shared" si="5"/>
        <v/>
      </c>
      <c r="M95" s="60" t="str">
        <f>IF(B95="","",IF(B95*2='Setup &amp; Summary'!$N$14,"midstation row!",""))</f>
        <v/>
      </c>
    </row>
    <row r="96" spans="1:13" x14ac:dyDescent="0.2">
      <c r="A96" s="69">
        <f t="shared" si="9"/>
        <v>87</v>
      </c>
      <c r="B96" s="57" t="str">
        <f>IF('Setup &amp; Summary'!$N$14&gt;A96,B95+1,"")</f>
        <v/>
      </c>
      <c r="C96" s="71"/>
      <c r="D96" s="72"/>
      <c r="E96" s="72"/>
      <c r="F96" s="25" t="str">
        <f t="shared" si="6"/>
        <v/>
      </c>
      <c r="G96" s="21" t="str">
        <f t="shared" si="7"/>
        <v/>
      </c>
      <c r="H96" s="25" t="str">
        <f t="shared" si="8"/>
        <v/>
      </c>
      <c r="I96" s="68" t="str">
        <f>IF(B96="","",IF(B96='Setup &amp; Summary'!$N$14,J96-H96,I97-$N$5))</f>
        <v/>
      </c>
      <c r="J96" s="22" t="str">
        <f>IF(B96="","",IF(B96='Setup &amp; Summary'!$N$14,INDEX(B!J:J,MATCH(MAX(B!B:B),B!B:B)),I96+H96))</f>
        <v/>
      </c>
      <c r="K96" s="23" t="str">
        <f t="shared" si="5"/>
        <v/>
      </c>
      <c r="M96" s="60" t="str">
        <f>IF(B96="","",IF(B96*2='Setup &amp; Summary'!$N$14,"midstation row!",""))</f>
        <v/>
      </c>
    </row>
    <row r="97" spans="1:13" x14ac:dyDescent="0.2">
      <c r="A97" s="69">
        <f t="shared" si="9"/>
        <v>88</v>
      </c>
      <c r="B97" s="57" t="str">
        <f>IF('Setup &amp; Summary'!$N$14&gt;A97,B96+1,"")</f>
        <v/>
      </c>
      <c r="C97" s="71"/>
      <c r="D97" s="72"/>
      <c r="E97" s="72"/>
      <c r="F97" s="25" t="str">
        <f t="shared" si="6"/>
        <v/>
      </c>
      <c r="G97" s="21" t="str">
        <f t="shared" si="7"/>
        <v/>
      </c>
      <c r="H97" s="25" t="str">
        <f t="shared" si="8"/>
        <v/>
      </c>
      <c r="I97" s="68" t="str">
        <f>IF(B97="","",IF(B97='Setup &amp; Summary'!$N$14,J97-H97,I98-$N$5))</f>
        <v/>
      </c>
      <c r="J97" s="22" t="str">
        <f>IF(B97="","",IF(B97='Setup &amp; Summary'!$N$14,INDEX(B!J:J,MATCH(MAX(B!B:B),B!B:B)),I97+H97))</f>
        <v/>
      </c>
      <c r="K97" s="23" t="str">
        <f t="shared" si="5"/>
        <v/>
      </c>
      <c r="M97" s="60" t="str">
        <f>IF(B97="","",IF(B97*2='Setup &amp; Summary'!$N$14,"midstation row!",""))</f>
        <v/>
      </c>
    </row>
    <row r="98" spans="1:13" x14ac:dyDescent="0.2">
      <c r="A98" s="69">
        <f t="shared" si="9"/>
        <v>89</v>
      </c>
      <c r="B98" s="57" t="str">
        <f>IF('Setup &amp; Summary'!$N$14&gt;A98,B97+1,"")</f>
        <v/>
      </c>
      <c r="C98" s="71"/>
      <c r="D98" s="72"/>
      <c r="E98" s="72"/>
      <c r="F98" s="25" t="str">
        <f t="shared" si="6"/>
        <v/>
      </c>
      <c r="G98" s="21" t="str">
        <f t="shared" si="7"/>
        <v/>
      </c>
      <c r="H98" s="25" t="str">
        <f t="shared" si="8"/>
        <v/>
      </c>
      <c r="I98" s="68" t="str">
        <f>IF(B98="","",IF(B98='Setup &amp; Summary'!$N$14,J98-H98,I99-$N$5))</f>
        <v/>
      </c>
      <c r="J98" s="22" t="str">
        <f>IF(B98="","",IF(B98='Setup &amp; Summary'!$N$14,INDEX(B!J:J,MATCH(MAX(B!B:B),B!B:B)),I98+H98))</f>
        <v/>
      </c>
      <c r="K98" s="23" t="str">
        <f t="shared" si="5"/>
        <v/>
      </c>
      <c r="M98" s="60" t="str">
        <f>IF(B98="","",IF(B98*2='Setup &amp; Summary'!$N$14,"midstation row!",""))</f>
        <v/>
      </c>
    </row>
    <row r="99" spans="1:13" x14ac:dyDescent="0.2">
      <c r="A99" s="69">
        <f t="shared" si="9"/>
        <v>90</v>
      </c>
      <c r="B99" s="57" t="str">
        <f>IF('Setup &amp; Summary'!$N$14&gt;A99,B98+1,"")</f>
        <v/>
      </c>
      <c r="C99" s="71"/>
      <c r="D99" s="72"/>
      <c r="E99" s="72"/>
      <c r="F99" s="25" t="str">
        <f t="shared" si="6"/>
        <v/>
      </c>
      <c r="G99" s="21" t="str">
        <f t="shared" si="7"/>
        <v/>
      </c>
      <c r="H99" s="25" t="str">
        <f t="shared" si="8"/>
        <v/>
      </c>
      <c r="I99" s="68" t="str">
        <f>IF(B99="","",IF(B99='Setup &amp; Summary'!$N$14,J99-H99,I100-$N$5))</f>
        <v/>
      </c>
      <c r="J99" s="22" t="str">
        <f>IF(B99="","",IF(B99='Setup &amp; Summary'!$N$14,INDEX(B!J:J,MATCH(MAX(B!B:B),B!B:B)),I99+H99))</f>
        <v/>
      </c>
      <c r="K99" s="23" t="str">
        <f t="shared" si="5"/>
        <v/>
      </c>
      <c r="M99" s="60" t="str">
        <f>IF(B99="","",IF(B99*2='Setup &amp; Summary'!$N$14,"midstation row!",""))</f>
        <v/>
      </c>
    </row>
    <row r="100" spans="1:13" x14ac:dyDescent="0.2">
      <c r="A100" s="69">
        <f t="shared" si="9"/>
        <v>91</v>
      </c>
      <c r="B100" s="57" t="str">
        <f>IF('Setup &amp; Summary'!$N$14&gt;A100,B99+1,"")</f>
        <v/>
      </c>
      <c r="C100" s="71"/>
      <c r="D100" s="72"/>
      <c r="E100" s="72"/>
      <c r="F100" s="25" t="str">
        <f t="shared" si="6"/>
        <v/>
      </c>
      <c r="G100" s="21" t="str">
        <f t="shared" si="7"/>
        <v/>
      </c>
      <c r="H100" s="25" t="str">
        <f t="shared" si="8"/>
        <v/>
      </c>
      <c r="I100" s="68" t="str">
        <f>IF(B100="","",IF(B100='Setup &amp; Summary'!$N$14,J100-H100,I101-$N$5))</f>
        <v/>
      </c>
      <c r="J100" s="22" t="str">
        <f>IF(B100="","",IF(B100='Setup &amp; Summary'!$N$14,INDEX(B!J:J,MATCH(MAX(B!B:B),B!B:B)),I100+H100))</f>
        <v/>
      </c>
      <c r="K100" s="23" t="str">
        <f t="shared" si="5"/>
        <v/>
      </c>
      <c r="M100" s="60" t="str">
        <f>IF(B100="","",IF(B100*2='Setup &amp; Summary'!$N$14,"midstation row!",""))</f>
        <v/>
      </c>
    </row>
    <row r="101" spans="1:13" x14ac:dyDescent="0.2">
      <c r="A101" s="69">
        <f t="shared" si="9"/>
        <v>92</v>
      </c>
      <c r="B101" s="57" t="str">
        <f>IF('Setup &amp; Summary'!$N$14&gt;A101,B100+1,"")</f>
        <v/>
      </c>
      <c r="C101" s="71"/>
      <c r="D101" s="72"/>
      <c r="E101" s="72"/>
      <c r="F101" s="25" t="str">
        <f t="shared" si="6"/>
        <v/>
      </c>
      <c r="G101" s="21" t="str">
        <f t="shared" si="7"/>
        <v/>
      </c>
      <c r="H101" s="25" t="str">
        <f t="shared" si="8"/>
        <v/>
      </c>
      <c r="I101" s="68" t="str">
        <f>IF(B101="","",IF(B101='Setup &amp; Summary'!$N$14,J101-H101,I102-$N$5))</f>
        <v/>
      </c>
      <c r="J101" s="22" t="str">
        <f>IF(B101="","",IF(B101='Setup &amp; Summary'!$N$14,INDEX(B!J:J,MATCH(MAX(B!B:B),B!B:B)),I101+H101))</f>
        <v/>
      </c>
      <c r="K101" s="23" t="str">
        <f t="shared" si="5"/>
        <v/>
      </c>
      <c r="M101" s="60" t="str">
        <f>IF(B101="","",IF(B101*2='Setup &amp; Summary'!$N$14,"midstation row!",""))</f>
        <v/>
      </c>
    </row>
    <row r="102" spans="1:13" x14ac:dyDescent="0.2">
      <c r="A102" s="69">
        <f t="shared" si="9"/>
        <v>93</v>
      </c>
      <c r="B102" s="57" t="str">
        <f>IF('Setup &amp; Summary'!$N$14&gt;A102,B101+1,"")</f>
        <v/>
      </c>
      <c r="C102" s="71"/>
      <c r="D102" s="72"/>
      <c r="E102" s="72"/>
      <c r="F102" s="25" t="str">
        <f t="shared" si="6"/>
        <v/>
      </c>
      <c r="G102" s="21" t="str">
        <f t="shared" si="7"/>
        <v/>
      </c>
      <c r="H102" s="25" t="str">
        <f t="shared" si="8"/>
        <v/>
      </c>
      <c r="I102" s="68" t="str">
        <f>IF(B102="","",IF(B102='Setup &amp; Summary'!$N$14,J102-H102,I103-$N$5))</f>
        <v/>
      </c>
      <c r="J102" s="22" t="str">
        <f>IF(B102="","",IF(B102='Setup &amp; Summary'!$N$14,INDEX(B!J:J,MATCH(MAX(B!B:B),B!B:B)),I102+H102))</f>
        <v/>
      </c>
      <c r="K102" s="23" t="str">
        <f t="shared" si="5"/>
        <v/>
      </c>
      <c r="M102" s="60" t="str">
        <f>IF(B102="","",IF(B102*2='Setup &amp; Summary'!$N$14,"midstation row!",""))</f>
        <v/>
      </c>
    </row>
    <row r="103" spans="1:13" x14ac:dyDescent="0.2">
      <c r="A103" s="69">
        <f t="shared" si="9"/>
        <v>94</v>
      </c>
      <c r="B103" s="57" t="str">
        <f>IF('Setup &amp; Summary'!$N$14&gt;A103,B102+1,"")</f>
        <v/>
      </c>
      <c r="C103" s="71"/>
      <c r="D103" s="72"/>
      <c r="E103" s="72"/>
      <c r="F103" s="25" t="str">
        <f t="shared" si="6"/>
        <v/>
      </c>
      <c r="G103" s="21" t="str">
        <f t="shared" si="7"/>
        <v/>
      </c>
      <c r="H103" s="25" t="str">
        <f t="shared" si="8"/>
        <v/>
      </c>
      <c r="I103" s="68" t="str">
        <f>IF(B103="","",IF(B103='Setup &amp; Summary'!$N$14,J103-H103,I104-$N$5))</f>
        <v/>
      </c>
      <c r="J103" s="22" t="str">
        <f>IF(B103="","",IF(B103='Setup &amp; Summary'!$N$14,INDEX(B!J:J,MATCH(MAX(B!B:B),B!B:B)),I103+H103))</f>
        <v/>
      </c>
      <c r="K103" s="23" t="str">
        <f t="shared" si="5"/>
        <v/>
      </c>
      <c r="M103" s="60" t="str">
        <f>IF(B103="","",IF(B103*2='Setup &amp; Summary'!$N$14,"midstation row!",""))</f>
        <v/>
      </c>
    </row>
    <row r="104" spans="1:13" x14ac:dyDescent="0.2">
      <c r="A104" s="69">
        <f t="shared" si="9"/>
        <v>95</v>
      </c>
      <c r="B104" s="57" t="str">
        <f>IF('Setup &amp; Summary'!$N$14&gt;A104,B103+1,"")</f>
        <v/>
      </c>
      <c r="C104" s="71"/>
      <c r="D104" s="72"/>
      <c r="E104" s="72"/>
      <c r="F104" s="25" t="str">
        <f t="shared" si="6"/>
        <v/>
      </c>
      <c r="G104" s="21" t="str">
        <f t="shared" si="7"/>
        <v/>
      </c>
      <c r="H104" s="25" t="str">
        <f t="shared" si="8"/>
        <v/>
      </c>
      <c r="I104" s="68" t="str">
        <f>IF(B104="","",IF(B104='Setup &amp; Summary'!$N$14,J104-H104,I105-$N$5))</f>
        <v/>
      </c>
      <c r="J104" s="22" t="str">
        <f>IF(B104="","",IF(B104='Setup &amp; Summary'!$N$14,INDEX(B!J:J,MATCH(MAX(B!B:B),B!B:B)),I104+H104))</f>
        <v/>
      </c>
      <c r="K104" s="23" t="str">
        <f t="shared" si="5"/>
        <v/>
      </c>
      <c r="M104" s="60" t="str">
        <f>IF(B104="","",IF(B104*2='Setup &amp; Summary'!$N$14,"midstation row!",""))</f>
        <v/>
      </c>
    </row>
    <row r="105" spans="1:13" x14ac:dyDescent="0.2">
      <c r="A105" s="69">
        <f t="shared" si="9"/>
        <v>96</v>
      </c>
      <c r="B105" s="57" t="str">
        <f>IF('Setup &amp; Summary'!$N$14&gt;A105,B104+1,"")</f>
        <v/>
      </c>
      <c r="C105" s="71"/>
      <c r="D105" s="72"/>
      <c r="E105" s="72"/>
      <c r="F105" s="25" t="str">
        <f t="shared" si="6"/>
        <v/>
      </c>
      <c r="G105" s="21" t="str">
        <f t="shared" si="7"/>
        <v/>
      </c>
      <c r="H105" s="25" t="str">
        <f t="shared" si="8"/>
        <v/>
      </c>
      <c r="I105" s="68" t="str">
        <f>IF(B105="","",IF(B105='Setup &amp; Summary'!$N$14,J105-H105,I106-$N$5))</f>
        <v/>
      </c>
      <c r="J105" s="22" t="str">
        <f>IF(B105="","",IF(B105='Setup &amp; Summary'!$N$14,INDEX(B!J:J,MATCH(MAX(B!B:B),B!B:B)),I105+H105))</f>
        <v/>
      </c>
      <c r="K105" s="23" t="str">
        <f t="shared" si="5"/>
        <v/>
      </c>
      <c r="M105" s="60" t="str">
        <f>IF(B105="","",IF(B105*2='Setup &amp; Summary'!$N$14,"midstation row!",""))</f>
        <v/>
      </c>
    </row>
    <row r="106" spans="1:13" x14ac:dyDescent="0.2">
      <c r="A106" s="69">
        <f t="shared" si="9"/>
        <v>97</v>
      </c>
      <c r="B106" s="57" t="str">
        <f>IF('Setup &amp; Summary'!$N$14&gt;A106,B105+1,"")</f>
        <v/>
      </c>
      <c r="C106" s="71"/>
      <c r="D106" s="72"/>
      <c r="E106" s="72"/>
      <c r="F106" s="25" t="str">
        <f t="shared" si="6"/>
        <v/>
      </c>
      <c r="G106" s="21" t="str">
        <f t="shared" si="7"/>
        <v/>
      </c>
      <c r="H106" s="25" t="str">
        <f t="shared" si="8"/>
        <v/>
      </c>
      <c r="I106" s="68" t="str">
        <f>IF(B106="","",IF(B106='Setup &amp; Summary'!$N$14,J106-H106,I107-$N$5))</f>
        <v/>
      </c>
      <c r="J106" s="22" t="str">
        <f>IF(B106="","",IF(B106='Setup &amp; Summary'!$N$14,INDEX(B!J:J,MATCH(MAX(B!B:B),B!B:B)),I106+H106))</f>
        <v/>
      </c>
      <c r="K106" s="23" t="str">
        <f t="shared" si="5"/>
        <v/>
      </c>
      <c r="M106" s="60" t="str">
        <f>IF(B106="","",IF(B106*2='Setup &amp; Summary'!$N$14,"midstation row!",""))</f>
        <v/>
      </c>
    </row>
    <row r="107" spans="1:13" x14ac:dyDescent="0.2">
      <c r="A107" s="69">
        <f t="shared" si="9"/>
        <v>98</v>
      </c>
      <c r="B107" s="57" t="str">
        <f>IF('Setup &amp; Summary'!$N$14&gt;A107,B106+1,"")</f>
        <v/>
      </c>
      <c r="C107" s="71"/>
      <c r="D107" s="72"/>
      <c r="E107" s="72"/>
      <c r="F107" s="25" t="str">
        <f t="shared" si="6"/>
        <v/>
      </c>
      <c r="G107" s="21" t="str">
        <f t="shared" si="7"/>
        <v/>
      </c>
      <c r="H107" s="25" t="str">
        <f t="shared" si="8"/>
        <v/>
      </c>
      <c r="I107" s="68" t="str">
        <f>IF(B107="","",IF(B107='Setup &amp; Summary'!$N$14,J107-H107,I108-$N$5))</f>
        <v/>
      </c>
      <c r="J107" s="22" t="str">
        <f>IF(B107="","",IF(B107='Setup &amp; Summary'!$N$14,INDEX(B!J:J,MATCH(MAX(B!B:B),B!B:B)),I107+H107))</f>
        <v/>
      </c>
      <c r="K107" s="23" t="str">
        <f t="shared" si="5"/>
        <v/>
      </c>
      <c r="M107" s="60" t="str">
        <f>IF(B107="","",IF(B107*2='Setup &amp; Summary'!$N$14,"midstation row!",""))</f>
        <v/>
      </c>
    </row>
    <row r="108" spans="1:13" x14ac:dyDescent="0.2">
      <c r="A108" s="69">
        <f t="shared" si="9"/>
        <v>99</v>
      </c>
      <c r="B108" s="57" t="str">
        <f>IF('Setup &amp; Summary'!$N$14&gt;A108,B107+1,"")</f>
        <v/>
      </c>
      <c r="C108" s="71"/>
      <c r="D108" s="72"/>
      <c r="E108" s="72"/>
      <c r="F108" s="25" t="str">
        <f t="shared" si="6"/>
        <v/>
      </c>
      <c r="G108" s="21" t="str">
        <f t="shared" si="7"/>
        <v/>
      </c>
      <c r="H108" s="25" t="str">
        <f t="shared" si="8"/>
        <v/>
      </c>
      <c r="I108" s="68" t="str">
        <f>IF(B108="","",IF(B108='Setup &amp; Summary'!$N$14,J108-H108,I109-$N$5))</f>
        <v/>
      </c>
      <c r="J108" s="22" t="str">
        <f>IF(B108="","",IF(B108='Setup &amp; Summary'!$N$14,INDEX(B!J:J,MATCH(MAX(B!B:B),B!B:B)),I108+H108))</f>
        <v/>
      </c>
      <c r="K108" s="23" t="str">
        <f t="shared" si="5"/>
        <v/>
      </c>
      <c r="M108" s="60" t="str">
        <f>IF(B108="","",IF(B108*2='Setup &amp; Summary'!$N$14,"midstation row!",""))</f>
        <v/>
      </c>
    </row>
  </sheetData>
  <sheetProtection sheet="1" objects="1" scenarios="1" selectLockedCells="1"/>
  <conditionalFormatting sqref="I10:I108">
    <cfRule type="expression" dxfId="23" priority="1">
      <formula>$M10="Midstation Row!"</formula>
    </cfRule>
  </conditionalFormatting>
  <conditionalFormatting sqref="M10:M108">
    <cfRule type="cellIs" dxfId="22" priority="7" operator="equal">
      <formula>""</formula>
    </cfRule>
    <cfRule type="cellIs" dxfId="21" priority="8" operator="equal">
      <formula>"Midstation Row!"</formula>
    </cfRule>
  </conditionalFormatting>
  <conditionalFormatting sqref="L32:M108 J1:K3 B10:B108 F10:I108 L10:M28 M16:M108">
    <cfRule type="cellIs" dxfId="20" priority="6" operator="equal">
      <formula>""</formula>
    </cfRule>
  </conditionalFormatting>
  <conditionalFormatting sqref="J10:K109">
    <cfRule type="cellIs" dxfId="19" priority="5" operator="equal">
      <formula>""</formula>
    </cfRule>
  </conditionalFormatting>
  <conditionalFormatting sqref="C9:E9">
    <cfRule type="expression" dxfId="18" priority="4">
      <formula>$B9=""</formula>
    </cfRule>
  </conditionalFormatting>
  <conditionalFormatting sqref="C10:E108">
    <cfRule type="expression" dxfId="17" priority="3">
      <formula>$B10=""</formula>
    </cfRule>
  </conditionalFormatting>
  <conditionalFormatting sqref="I10">
    <cfRule type="expression" dxfId="16" priority="2">
      <formula>$M10="Midstation Row!"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108"/>
  <sheetViews>
    <sheetView zoomScale="70" zoomScaleNormal="70" workbookViewId="0">
      <selection activeCell="C9" sqref="C9"/>
    </sheetView>
  </sheetViews>
  <sheetFormatPr defaultRowHeight="12.75" x14ac:dyDescent="0.2"/>
  <cols>
    <col min="1" max="1" width="3.42578125" style="70" customWidth="1"/>
    <col min="13" max="13" width="23.42578125" customWidth="1"/>
    <col min="14" max="14" width="7.5703125" customWidth="1"/>
  </cols>
  <sheetData>
    <row r="1" spans="1:14" x14ac:dyDescent="0.2">
      <c r="A1" s="69"/>
      <c r="B1" s="28"/>
      <c r="C1" s="28"/>
      <c r="D1" s="28"/>
      <c r="E1" s="28"/>
      <c r="F1" s="28"/>
      <c r="G1" s="28"/>
      <c r="H1" s="28"/>
      <c r="I1" s="28"/>
      <c r="J1" s="31">
        <f>MIN(K:K)</f>
        <v>-145.91666666666626</v>
      </c>
      <c r="K1" t="s">
        <v>4</v>
      </c>
      <c r="M1" s="28"/>
      <c r="N1" s="28"/>
    </row>
    <row r="2" spans="1:14" ht="18" x14ac:dyDescent="0.25">
      <c r="A2" s="69"/>
      <c r="B2" s="1" t="str">
        <f>'Setup &amp; Summary'!P10&amp;"""x"&amp;'Setup &amp; Summary'!P11&amp;""" Plate, "&amp;'Setup &amp; Summary'!N16&amp;""" Foot Pad Distance"</f>
        <v>36"x48" Plate, 2" Foot Pad Distance</v>
      </c>
      <c r="G2" s="2" t="s">
        <v>47</v>
      </c>
      <c r="J2" s="31">
        <f>MAX(K:K)</f>
        <v>40.000000000000391</v>
      </c>
      <c r="K2" t="s">
        <v>5</v>
      </c>
    </row>
    <row r="3" spans="1:14" x14ac:dyDescent="0.2">
      <c r="A3" s="69"/>
      <c r="J3" s="31">
        <f>ABS(J1-J2)</f>
        <v>185.91666666666666</v>
      </c>
      <c r="K3" t="s">
        <v>6</v>
      </c>
    </row>
    <row r="4" spans="1:14" ht="13.5" thickBot="1" x14ac:dyDescent="0.25">
      <c r="A4" s="69"/>
    </row>
    <row r="5" spans="1:14" ht="13.5" thickTop="1" x14ac:dyDescent="0.2">
      <c r="A5" s="69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61" t="s">
        <v>0</v>
      </c>
      <c r="L5" s="66"/>
      <c r="M5" s="6" t="s">
        <v>1</v>
      </c>
      <c r="N5" s="7">
        <f>(INDEX(I:I,MATCH(MAX(B:B),B:B))-I8)/MAX(B:B)</f>
        <v>2.2979166666666666</v>
      </c>
    </row>
    <row r="6" spans="1:14" ht="13.5" thickBot="1" x14ac:dyDescent="0.25">
      <c r="A6" s="69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62">
        <v>9</v>
      </c>
      <c r="L6" s="66"/>
      <c r="M6" s="11" t="s">
        <v>2</v>
      </c>
      <c r="N6" s="12">
        <f>'Setup &amp; Summary'!$N$16</f>
        <v>2</v>
      </c>
    </row>
    <row r="7" spans="1:14" ht="13.5" thickTop="1" x14ac:dyDescent="0.2">
      <c r="A7" s="69"/>
      <c r="B7" s="13"/>
      <c r="C7" s="14"/>
      <c r="D7" s="15"/>
      <c r="E7" s="15"/>
      <c r="F7" s="15"/>
      <c r="G7" s="15"/>
      <c r="H7" s="15"/>
      <c r="I7" s="15"/>
      <c r="J7" s="15"/>
      <c r="K7" s="63"/>
      <c r="L7" s="67"/>
      <c r="M7" s="6" t="s">
        <v>3</v>
      </c>
      <c r="N7" s="16">
        <f>N6*5</f>
        <v>10</v>
      </c>
    </row>
    <row r="8" spans="1:14" x14ac:dyDescent="0.2">
      <c r="A8" s="69"/>
      <c r="B8" s="57" t="s">
        <v>68</v>
      </c>
      <c r="C8" s="17"/>
      <c r="D8" s="18"/>
      <c r="E8" s="18"/>
      <c r="F8" s="19"/>
      <c r="G8" s="19"/>
      <c r="H8" s="20">
        <v>0</v>
      </c>
      <c r="I8" s="25">
        <f>INDEX('C'!J:J,MATCH(MAX('C'!B:B)/2,'C'!B:B))</f>
        <v>-0.59166666666664369</v>
      </c>
      <c r="J8" s="22">
        <f>IF(B8="","",I8+H8)</f>
        <v>-0.59166666666664369</v>
      </c>
      <c r="K8" s="64">
        <f>IF(B8="","",J8*$N$7)</f>
        <v>-5.9166666666664369</v>
      </c>
      <c r="L8" s="67"/>
      <c r="N8" s="24"/>
    </row>
    <row r="9" spans="1:14" x14ac:dyDescent="0.2">
      <c r="A9" s="69"/>
      <c r="B9" s="38">
        <v>1</v>
      </c>
      <c r="C9" s="71">
        <v>7.4</v>
      </c>
      <c r="D9" s="72">
        <v>7.3</v>
      </c>
      <c r="E9" s="72">
        <v>7.5</v>
      </c>
      <c r="F9" s="25">
        <f>AVERAGE(C9:E9)</f>
        <v>7.3999999999999995</v>
      </c>
      <c r="G9" s="21">
        <f>F9-$F$9</f>
        <v>0</v>
      </c>
      <c r="H9" s="21">
        <f>H8+G9</f>
        <v>0</v>
      </c>
      <c r="I9" s="25">
        <f>I10-$N$5</f>
        <v>1.7062500000000371</v>
      </c>
      <c r="J9" s="22">
        <f>IF(B9="","",I9+H9)</f>
        <v>1.7062500000000371</v>
      </c>
      <c r="K9" s="64">
        <f t="shared" ref="K9:K72" si="0">IF(B9="","",J9*$N$7)</f>
        <v>17.062500000000369</v>
      </c>
      <c r="L9" s="67"/>
    </row>
    <row r="10" spans="1:14" x14ac:dyDescent="0.2">
      <c r="A10" s="69">
        <v>1</v>
      </c>
      <c r="B10" s="57">
        <f>IF('Setup &amp; Summary'!$N$14&gt;A10,B9+1,"")</f>
        <v>2</v>
      </c>
      <c r="C10" s="71">
        <v>7.4</v>
      </c>
      <c r="D10" s="72">
        <v>7.2</v>
      </c>
      <c r="E10" s="72">
        <v>7.5</v>
      </c>
      <c r="F10" s="25">
        <f t="shared" ref="F10:F73" si="1">IF(B10="","",AVERAGE(C10:E10))</f>
        <v>7.3666666666666671</v>
      </c>
      <c r="G10" s="21">
        <f t="shared" ref="G10:G73" si="2">IF(B10="","",F10-$F$9)</f>
        <v>-3.3333333333332327E-2</v>
      </c>
      <c r="H10" s="25">
        <f t="shared" ref="H10:H73" si="3">IF(B10="","",H9+G10)</f>
        <v>-3.3333333333332327E-2</v>
      </c>
      <c r="I10" s="68">
        <f>IF(B10="","",IF(B10='Setup &amp; Summary'!$N$14,J10-H10,I11-$N$5))</f>
        <v>4.0041666666667037</v>
      </c>
      <c r="J10" s="22">
        <f>IF(B10="","",IF(B10='Setup &amp; Summary'!$N$14,INDEX(E!J:J,MATCH(MAX(E!B:B)/2,E!B:B)),I10+H10))</f>
        <v>3.9708333333333714</v>
      </c>
      <c r="K10" s="23">
        <f t="shared" si="0"/>
        <v>39.708333333333712</v>
      </c>
      <c r="L10" s="65"/>
      <c r="M10" s="60" t="str">
        <f>IF(B10="","",IF(B10*2='Setup &amp; Summary'!$N$14,"midstation row!",""))</f>
        <v/>
      </c>
    </row>
    <row r="11" spans="1:14" x14ac:dyDescent="0.2">
      <c r="A11" s="69">
        <f>A10+1</f>
        <v>2</v>
      </c>
      <c r="B11" s="57">
        <f>IF('Setup &amp; Summary'!$N$14&gt;A11,B10+1,"")</f>
        <v>3</v>
      </c>
      <c r="C11" s="71">
        <v>4.8</v>
      </c>
      <c r="D11" s="72">
        <v>5</v>
      </c>
      <c r="E11" s="72">
        <v>4.5999999999999996</v>
      </c>
      <c r="F11" s="25">
        <f t="shared" si="1"/>
        <v>4.8</v>
      </c>
      <c r="G11" s="21">
        <f t="shared" si="2"/>
        <v>-2.5999999999999996</v>
      </c>
      <c r="H11" s="25">
        <f t="shared" si="3"/>
        <v>-2.633333333333332</v>
      </c>
      <c r="I11" s="68">
        <f>IF(B11="","",IF(B11='Setup &amp; Summary'!$N$14,J11-H11,I12-$N$5))</f>
        <v>6.3020833333333703</v>
      </c>
      <c r="J11" s="22">
        <f>IF(B11="","",IF(B11='Setup &amp; Summary'!$N$14,INDEX(E!J:J,MATCH(MAX(E!B:B)/2,E!B:B)),I11+H11))</f>
        <v>3.6687500000000384</v>
      </c>
      <c r="K11" s="23">
        <f t="shared" si="0"/>
        <v>36.687500000000384</v>
      </c>
      <c r="L11" s="59"/>
      <c r="M11" s="60" t="str">
        <f>IF(B11="","",IF(B11*2='Setup &amp; Summary'!$N$14,"midstation row!",""))</f>
        <v/>
      </c>
    </row>
    <row r="12" spans="1:14" x14ac:dyDescent="0.2">
      <c r="A12" s="69">
        <f t="shared" ref="A12:A75" si="4">A11+1</f>
        <v>3</v>
      </c>
      <c r="B12" s="57">
        <f>IF('Setup &amp; Summary'!$N$14&gt;A12,B11+1,"")</f>
        <v>4</v>
      </c>
      <c r="C12" s="71">
        <v>5.6</v>
      </c>
      <c r="D12" s="72">
        <v>5.4</v>
      </c>
      <c r="E12" s="72">
        <v>5.3</v>
      </c>
      <c r="F12" s="25">
        <f t="shared" si="1"/>
        <v>5.4333333333333336</v>
      </c>
      <c r="G12" s="21">
        <f t="shared" si="2"/>
        <v>-1.9666666666666659</v>
      </c>
      <c r="H12" s="25">
        <f t="shared" si="3"/>
        <v>-4.5999999999999979</v>
      </c>
      <c r="I12" s="68">
        <f>IF(B12="","",IF(B12='Setup &amp; Summary'!$N$14,J12-H12,I13-$N$5))</f>
        <v>8.6000000000000369</v>
      </c>
      <c r="J12" s="22">
        <f>IF(B12="","",IF(B12='Setup &amp; Summary'!$N$14,INDEX(E!J:J,MATCH(MAX(E!B:B)/2,E!B:B)),I12+H12))</f>
        <v>4.0000000000000391</v>
      </c>
      <c r="K12" s="23">
        <f t="shared" si="0"/>
        <v>40.000000000000391</v>
      </c>
      <c r="L12" s="59"/>
      <c r="M12" s="60" t="str">
        <f>IF(B12="","",IF(B12*2='Setup &amp; Summary'!$N$14,"midstation row!",""))</f>
        <v/>
      </c>
    </row>
    <row r="13" spans="1:14" x14ac:dyDescent="0.2">
      <c r="A13" s="69">
        <f t="shared" si="4"/>
        <v>4</v>
      </c>
      <c r="B13" s="57">
        <f>IF('Setup &amp; Summary'!$N$14&gt;A13,B12+1,"")</f>
        <v>5</v>
      </c>
      <c r="C13" s="71">
        <v>4.8</v>
      </c>
      <c r="D13" s="72">
        <v>5</v>
      </c>
      <c r="E13" s="72">
        <v>4.9000000000000004</v>
      </c>
      <c r="F13" s="25">
        <f t="shared" si="1"/>
        <v>4.9000000000000004</v>
      </c>
      <c r="G13" s="21">
        <f t="shared" si="2"/>
        <v>-2.4999999999999991</v>
      </c>
      <c r="H13" s="25">
        <f t="shared" si="3"/>
        <v>-7.099999999999997</v>
      </c>
      <c r="I13" s="68">
        <f>IF(B13="","",IF(B13='Setup &amp; Summary'!$N$14,J13-H13,I14-$N$5))</f>
        <v>10.897916666666703</v>
      </c>
      <c r="J13" s="22">
        <f>IF(B13="","",IF(B13='Setup &amp; Summary'!$N$14,INDEX(E!J:J,MATCH(MAX(E!B:B)/2,E!B:B)),I13+H13))</f>
        <v>3.7979166666667057</v>
      </c>
      <c r="K13" s="23">
        <f t="shared" si="0"/>
        <v>37.979166666667055</v>
      </c>
      <c r="L13" s="59"/>
      <c r="M13" s="60" t="str">
        <f>IF(B13="","",IF(B13*2='Setup &amp; Summary'!$N$14,"midstation row!",""))</f>
        <v/>
      </c>
    </row>
    <row r="14" spans="1:14" x14ac:dyDescent="0.2">
      <c r="A14" s="69">
        <f t="shared" si="4"/>
        <v>5</v>
      </c>
      <c r="B14" s="57">
        <f>IF('Setup &amp; Summary'!$N$14&gt;A14,B13+1,"")</f>
        <v>6</v>
      </c>
      <c r="C14" s="71">
        <v>5.3</v>
      </c>
      <c r="D14" s="72">
        <v>5</v>
      </c>
      <c r="E14" s="72">
        <v>5</v>
      </c>
      <c r="F14" s="25">
        <f t="shared" si="1"/>
        <v>5.1000000000000005</v>
      </c>
      <c r="G14" s="21">
        <f t="shared" si="2"/>
        <v>-2.2999999999999989</v>
      </c>
      <c r="H14" s="25">
        <f t="shared" si="3"/>
        <v>-9.399999999999995</v>
      </c>
      <c r="I14" s="68">
        <f>IF(B14="","",IF(B14='Setup &amp; Summary'!$N$14,J14-H14,I15-$N$5))</f>
        <v>13.195833333333368</v>
      </c>
      <c r="J14" s="22">
        <f>IF(B14="","",IF(B14='Setup &amp; Summary'!$N$14,INDEX(E!J:J,MATCH(MAX(E!B:B)/2,E!B:B)),I14+H14))</f>
        <v>3.7958333333333734</v>
      </c>
      <c r="K14" s="23">
        <f t="shared" si="0"/>
        <v>37.958333333333734</v>
      </c>
      <c r="L14" s="59"/>
      <c r="M14" s="60" t="str">
        <f>IF(B14="","",IF(B14*2='Setup &amp; Summary'!$N$14,"midstation row!",""))</f>
        <v/>
      </c>
    </row>
    <row r="15" spans="1:14" x14ac:dyDescent="0.2">
      <c r="A15" s="69">
        <f t="shared" si="4"/>
        <v>6</v>
      </c>
      <c r="B15" s="57">
        <f>IF('Setup &amp; Summary'!$N$14&gt;A15,B14+1,"")</f>
        <v>7</v>
      </c>
      <c r="C15" s="71">
        <v>4.3</v>
      </c>
      <c r="D15" s="72">
        <v>4.5</v>
      </c>
      <c r="E15" s="72">
        <v>4.2</v>
      </c>
      <c r="F15" s="25">
        <f t="shared" si="1"/>
        <v>4.333333333333333</v>
      </c>
      <c r="G15" s="21">
        <f t="shared" si="2"/>
        <v>-3.0666666666666664</v>
      </c>
      <c r="H15" s="25">
        <f t="shared" si="3"/>
        <v>-12.466666666666661</v>
      </c>
      <c r="I15" s="68">
        <f>IF(B15="","",IF(B15='Setup &amp; Summary'!$N$14,J15-H15,I16-$N$5))</f>
        <v>15.493750000000034</v>
      </c>
      <c r="J15" s="22">
        <f>IF(B15="","",IF(B15='Setup &amp; Summary'!$N$14,INDEX(E!J:J,MATCH(MAX(E!B:B)/2,E!B:B)),I15+H15))</f>
        <v>3.0270833333333727</v>
      </c>
      <c r="K15" s="23">
        <f t="shared" si="0"/>
        <v>30.270833333333727</v>
      </c>
      <c r="L15" s="59"/>
      <c r="M15" s="60" t="str">
        <f>IF(B15="","",IF(B15*2='Setup &amp; Summary'!$N$14,"midstation row!",""))</f>
        <v/>
      </c>
    </row>
    <row r="16" spans="1:14" x14ac:dyDescent="0.2">
      <c r="A16" s="69">
        <f t="shared" si="4"/>
        <v>7</v>
      </c>
      <c r="B16" s="57">
        <f>IF('Setup &amp; Summary'!$N$14&gt;A16,B15+1,"")</f>
        <v>8</v>
      </c>
      <c r="C16" s="71">
        <v>4.2</v>
      </c>
      <c r="D16" s="72">
        <v>4.5</v>
      </c>
      <c r="E16" s="72">
        <v>4.3</v>
      </c>
      <c r="F16" s="25">
        <f t="shared" si="1"/>
        <v>4.333333333333333</v>
      </c>
      <c r="G16" s="21">
        <f t="shared" si="2"/>
        <v>-3.0666666666666664</v>
      </c>
      <c r="H16" s="25">
        <f t="shared" si="3"/>
        <v>-15.533333333333328</v>
      </c>
      <c r="I16" s="68">
        <f>IF(B16="","",IF(B16='Setup &amp; Summary'!$N$14,J16-H16,I17-$N$5))</f>
        <v>17.7916666666667</v>
      </c>
      <c r="J16" s="22">
        <f>IF(B16="","",IF(B16='Setup &amp; Summary'!$N$14,INDEX(E!J:J,MATCH(MAX(E!B:B)/2,E!B:B)),I16+H16))</f>
        <v>2.2583333333333719</v>
      </c>
      <c r="K16" s="23">
        <f t="shared" si="0"/>
        <v>22.583333333333719</v>
      </c>
      <c r="L16" s="59"/>
      <c r="M16" s="60" t="str">
        <f>IF(B16="","",IF(B16*2='Setup &amp; Summary'!$N$14,"midstation row!",""))</f>
        <v>midstation row!</v>
      </c>
    </row>
    <row r="17" spans="1:14" x14ac:dyDescent="0.2">
      <c r="A17" s="69">
        <f t="shared" si="4"/>
        <v>8</v>
      </c>
      <c r="B17" s="57">
        <f>IF('Setup &amp; Summary'!$N$14&gt;A17,B16+1,"")</f>
        <v>9</v>
      </c>
      <c r="C17" s="71">
        <v>4</v>
      </c>
      <c r="D17" s="72">
        <v>4.3</v>
      </c>
      <c r="E17" s="72">
        <v>4.0999999999999996</v>
      </c>
      <c r="F17" s="25">
        <f t="shared" si="1"/>
        <v>4.1333333333333337</v>
      </c>
      <c r="G17" s="21">
        <f t="shared" si="2"/>
        <v>-3.2666666666666657</v>
      </c>
      <c r="H17" s="25">
        <f t="shared" si="3"/>
        <v>-18.799999999999994</v>
      </c>
      <c r="I17" s="68">
        <f>IF(B17="","",IF(B17='Setup &amp; Summary'!$N$14,J17-H17,I18-$N$5))</f>
        <v>20.089583333333366</v>
      </c>
      <c r="J17" s="22">
        <f>IF(B17="","",IF(B17='Setup &amp; Summary'!$N$14,INDEX(E!J:J,MATCH(MAX(E!B:B)/2,E!B:B)),I17+H17))</f>
        <v>1.2895833333333719</v>
      </c>
      <c r="K17" s="23">
        <f t="shared" si="0"/>
        <v>12.895833333333719</v>
      </c>
      <c r="L17" s="59"/>
      <c r="M17" s="60" t="str">
        <f>IF(B17="","",IF(B17*2='Setup &amp; Summary'!$N$14,"midstation row!",""))</f>
        <v/>
      </c>
      <c r="N17" s="58"/>
    </row>
    <row r="18" spans="1:14" x14ac:dyDescent="0.2">
      <c r="A18" s="69">
        <f t="shared" si="4"/>
        <v>9</v>
      </c>
      <c r="B18" s="57">
        <f>IF('Setup &amp; Summary'!$N$14&gt;A18,B17+1,"")</f>
        <v>10</v>
      </c>
      <c r="C18" s="71">
        <v>3</v>
      </c>
      <c r="D18" s="72">
        <v>3</v>
      </c>
      <c r="E18" s="72">
        <v>3.1</v>
      </c>
      <c r="F18" s="25">
        <f t="shared" si="1"/>
        <v>3.0333333333333332</v>
      </c>
      <c r="G18" s="21">
        <f t="shared" si="2"/>
        <v>-4.3666666666666663</v>
      </c>
      <c r="H18" s="25">
        <f t="shared" si="3"/>
        <v>-23.166666666666661</v>
      </c>
      <c r="I18" s="68">
        <f>IF(B18="","",IF(B18='Setup &amp; Summary'!$N$14,J18-H18,I19-$N$5))</f>
        <v>22.387500000000031</v>
      </c>
      <c r="J18" s="22">
        <f>IF(B18="","",IF(B18='Setup &amp; Summary'!$N$14,INDEX(E!J:J,MATCH(MAX(E!B:B)/2,E!B:B)),I18+H18))</f>
        <v>-0.77916666666662948</v>
      </c>
      <c r="K18" s="23">
        <f t="shared" si="0"/>
        <v>-7.7916666666662948</v>
      </c>
      <c r="L18" s="59"/>
      <c r="M18" s="60" t="str">
        <f>IF(B18="","",IF(B18*2='Setup &amp; Summary'!$N$14,"midstation row!",""))</f>
        <v/>
      </c>
    </row>
    <row r="19" spans="1:14" x14ac:dyDescent="0.2">
      <c r="A19" s="69">
        <f t="shared" si="4"/>
        <v>10</v>
      </c>
      <c r="B19" s="57">
        <f>IF('Setup &amp; Summary'!$N$14&gt;A19,B18+1,"")</f>
        <v>11</v>
      </c>
      <c r="C19" s="71">
        <v>3.8</v>
      </c>
      <c r="D19" s="72">
        <v>4.0999999999999996</v>
      </c>
      <c r="E19" s="72">
        <v>4</v>
      </c>
      <c r="F19" s="25">
        <f t="shared" si="1"/>
        <v>3.9666666666666663</v>
      </c>
      <c r="G19" s="21">
        <f t="shared" si="2"/>
        <v>-3.4333333333333331</v>
      </c>
      <c r="H19" s="25">
        <f t="shared" si="3"/>
        <v>-26.599999999999994</v>
      </c>
      <c r="I19" s="68">
        <f>IF(B19="","",IF(B19='Setup &amp; Summary'!$N$14,J19-H19,I20-$N$5))</f>
        <v>24.685416666666697</v>
      </c>
      <c r="J19" s="22">
        <f>IF(B19="","",IF(B19='Setup &amp; Summary'!$N$14,INDEX(E!J:J,MATCH(MAX(E!B:B)/2,E!B:B)),I19+H19))</f>
        <v>-1.9145833333332973</v>
      </c>
      <c r="K19" s="23">
        <f t="shared" si="0"/>
        <v>-19.145833333332973</v>
      </c>
      <c r="L19" s="59"/>
      <c r="M19" s="60" t="str">
        <f>IF(B19="","",IF(B19*2='Setup &amp; Summary'!$N$14,"midstation row!",""))</f>
        <v/>
      </c>
    </row>
    <row r="20" spans="1:14" x14ac:dyDescent="0.2">
      <c r="A20" s="69">
        <f t="shared" si="4"/>
        <v>11</v>
      </c>
      <c r="B20" s="57">
        <f>IF('Setup &amp; Summary'!$N$14&gt;A20,B19+1,"")</f>
        <v>12</v>
      </c>
      <c r="C20" s="71">
        <v>2.6</v>
      </c>
      <c r="D20" s="72">
        <v>2.2999999999999998</v>
      </c>
      <c r="E20" s="72">
        <v>2.2999999999999998</v>
      </c>
      <c r="F20" s="25">
        <f t="shared" si="1"/>
        <v>2.4</v>
      </c>
      <c r="G20" s="21">
        <f t="shared" si="2"/>
        <v>-5</v>
      </c>
      <c r="H20" s="25">
        <f t="shared" si="3"/>
        <v>-31.599999999999994</v>
      </c>
      <c r="I20" s="68">
        <f>IF(B20="","",IF(B20='Setup &amp; Summary'!$N$14,J20-H20,I21-$N$5))</f>
        <v>26.983333333333363</v>
      </c>
      <c r="J20" s="22">
        <f>IF(B20="","",IF(B20='Setup &amp; Summary'!$N$14,INDEX(E!J:J,MATCH(MAX(E!B:B)/2,E!B:B)),I20+H20))</f>
        <v>-4.6166666666666316</v>
      </c>
      <c r="K20" s="23">
        <f t="shared" si="0"/>
        <v>-46.166666666666316</v>
      </c>
      <c r="L20" s="59"/>
      <c r="M20" s="60" t="str">
        <f>IF(B20="","",IF(B20*2='Setup &amp; Summary'!$N$14,"midstation row!",""))</f>
        <v/>
      </c>
    </row>
    <row r="21" spans="1:14" x14ac:dyDescent="0.2">
      <c r="A21" s="69">
        <f t="shared" si="4"/>
        <v>12</v>
      </c>
      <c r="B21" s="57">
        <f>IF('Setup &amp; Summary'!$N$14&gt;A21,B20+1,"")</f>
        <v>13</v>
      </c>
      <c r="C21" s="71">
        <v>2.5</v>
      </c>
      <c r="D21" s="72">
        <v>2.5</v>
      </c>
      <c r="E21" s="72">
        <v>2.7</v>
      </c>
      <c r="F21" s="25">
        <f t="shared" si="1"/>
        <v>2.5666666666666669</v>
      </c>
      <c r="G21" s="21">
        <f t="shared" si="2"/>
        <v>-4.8333333333333321</v>
      </c>
      <c r="H21" s="25">
        <f t="shared" si="3"/>
        <v>-36.433333333333323</v>
      </c>
      <c r="I21" s="68">
        <f>IF(B21="","",IF(B21='Setup &amp; Summary'!$N$14,J21-H21,I22-$N$5))</f>
        <v>29.281250000000028</v>
      </c>
      <c r="J21" s="22">
        <f>IF(B21="","",IF(B21='Setup &amp; Summary'!$N$14,INDEX(E!J:J,MATCH(MAX(E!B:B)/2,E!B:B)),I21+H21))</f>
        <v>-7.1520833333332945</v>
      </c>
      <c r="K21" s="23">
        <f t="shared" si="0"/>
        <v>-71.520833333332945</v>
      </c>
      <c r="L21" s="59"/>
      <c r="M21" s="60" t="str">
        <f>IF(B21="","",IF(B21*2='Setup &amp; Summary'!$N$14,"midstation row!",""))</f>
        <v/>
      </c>
    </row>
    <row r="22" spans="1:14" x14ac:dyDescent="0.2">
      <c r="A22" s="69">
        <f t="shared" si="4"/>
        <v>13</v>
      </c>
      <c r="B22" s="57">
        <f>IF('Setup &amp; Summary'!$N$14&gt;A22,B21+1,"")</f>
        <v>14</v>
      </c>
      <c r="C22" s="71">
        <v>3</v>
      </c>
      <c r="D22" s="72">
        <v>2.7</v>
      </c>
      <c r="E22" s="72">
        <v>2.8</v>
      </c>
      <c r="F22" s="25">
        <f t="shared" si="1"/>
        <v>2.8333333333333335</v>
      </c>
      <c r="G22" s="21">
        <f t="shared" si="2"/>
        <v>-4.5666666666666664</v>
      </c>
      <c r="H22" s="25">
        <f t="shared" si="3"/>
        <v>-40.999999999999986</v>
      </c>
      <c r="I22" s="68">
        <f>IF(B22="","",IF(B22='Setup &amp; Summary'!$N$14,J22-H22,I23-$N$5))</f>
        <v>31.579166666666694</v>
      </c>
      <c r="J22" s="22">
        <f>IF(B22="","",IF(B22='Setup &amp; Summary'!$N$14,INDEX(E!J:J,MATCH(MAX(E!B:B)/2,E!B:B)),I22+H22))</f>
        <v>-9.4208333333332916</v>
      </c>
      <c r="K22" s="23">
        <f t="shared" si="0"/>
        <v>-94.208333333332916</v>
      </c>
      <c r="L22" s="59"/>
      <c r="M22" s="60" t="str">
        <f>IF(B22="","",IF(B22*2='Setup &amp; Summary'!$N$14,"midstation row!",""))</f>
        <v/>
      </c>
    </row>
    <row r="23" spans="1:14" x14ac:dyDescent="0.2">
      <c r="A23" s="69">
        <f t="shared" si="4"/>
        <v>14</v>
      </c>
      <c r="B23" s="57">
        <f>IF('Setup &amp; Summary'!$N$14&gt;A23,B22+1,"")</f>
        <v>15</v>
      </c>
      <c r="C23" s="71">
        <v>2.2999999999999998</v>
      </c>
      <c r="D23" s="72">
        <v>2.5</v>
      </c>
      <c r="E23" s="72">
        <v>2.5</v>
      </c>
      <c r="F23" s="25">
        <f t="shared" si="1"/>
        <v>2.4333333333333331</v>
      </c>
      <c r="G23" s="21">
        <f t="shared" si="2"/>
        <v>-4.9666666666666668</v>
      </c>
      <c r="H23" s="25">
        <f t="shared" si="3"/>
        <v>-45.966666666666654</v>
      </c>
      <c r="I23" s="68">
        <f>IF(B23="","",IF(B23='Setup &amp; Summary'!$N$14,J23-H23,I24-$N$5))</f>
        <v>33.87708333333336</v>
      </c>
      <c r="J23" s="22">
        <f>IF(B23="","",IF(B23='Setup &amp; Summary'!$N$14,INDEX(E!J:J,MATCH(MAX(E!B:B)/2,E!B:B)),I23+H23))</f>
        <v>-12.089583333333294</v>
      </c>
      <c r="K23" s="23">
        <f t="shared" si="0"/>
        <v>-120.89583333333294</v>
      </c>
      <c r="L23" s="59"/>
      <c r="M23" s="60" t="str">
        <f>IF(B23="","",IF(B23*2='Setup &amp; Summary'!$N$14,"midstation row!",""))</f>
        <v/>
      </c>
    </row>
    <row r="24" spans="1:14" x14ac:dyDescent="0.2">
      <c r="A24" s="69">
        <f t="shared" si="4"/>
        <v>15</v>
      </c>
      <c r="B24" s="57">
        <f>IF('Setup &amp; Summary'!$N$14&gt;A24,B23+1,"")</f>
        <v>16</v>
      </c>
      <c r="C24" s="71">
        <v>2.5</v>
      </c>
      <c r="D24" s="72">
        <v>2.5</v>
      </c>
      <c r="E24" s="72">
        <v>2.8</v>
      </c>
      <c r="F24" s="25">
        <f t="shared" si="1"/>
        <v>2.6</v>
      </c>
      <c r="G24" s="21">
        <f t="shared" si="2"/>
        <v>-4.7999999999999989</v>
      </c>
      <c r="H24" s="25">
        <f t="shared" si="3"/>
        <v>-50.766666666666652</v>
      </c>
      <c r="I24" s="68">
        <f>IF(B24="","",IF(B24='Setup &amp; Summary'!$N$14,J24-H24,I25-$N$5))</f>
        <v>36.175000000000026</v>
      </c>
      <c r="J24" s="22">
        <f>IF(B24="","",IF(B24='Setup &amp; Summary'!$N$14,INDEX(E!J:J,MATCH(MAX(E!B:B)/2,E!B:B)),I24+H24))</f>
        <v>-14.591666666666626</v>
      </c>
      <c r="K24" s="23">
        <f t="shared" si="0"/>
        <v>-145.91666666666626</v>
      </c>
      <c r="L24" s="59"/>
      <c r="M24" s="60" t="str">
        <f>IF(B24="","",IF(B24*2='Setup &amp; Summary'!$N$14,"midstation row!",""))</f>
        <v/>
      </c>
    </row>
    <row r="25" spans="1:14" x14ac:dyDescent="0.2">
      <c r="A25" s="69">
        <f t="shared" si="4"/>
        <v>16</v>
      </c>
      <c r="B25" s="57" t="str">
        <f>IF('Setup &amp; Summary'!$N$14&gt;A25,B24+1,"")</f>
        <v/>
      </c>
      <c r="C25" s="71"/>
      <c r="D25" s="72"/>
      <c r="E25" s="72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68" t="str">
        <f>IF(B25="","",IF(B25='Setup &amp; Summary'!$N$14,J25-H25,I26-$N$5))</f>
        <v/>
      </c>
      <c r="J25" s="22" t="str">
        <f>IF(B25="","",IF(B25='Setup &amp; Summary'!$N$14,INDEX(E!J:J,MATCH(MAX(E!B:B)/2,E!B:B)),I25+H25))</f>
        <v/>
      </c>
      <c r="K25" s="23" t="str">
        <f t="shared" si="0"/>
        <v/>
      </c>
      <c r="L25" s="59"/>
      <c r="M25" s="60" t="str">
        <f>IF(B25="","",IF(B25*2='Setup &amp; Summary'!$N$14,"midstation row!",""))</f>
        <v/>
      </c>
    </row>
    <row r="26" spans="1:14" x14ac:dyDescent="0.2">
      <c r="A26" s="69">
        <f t="shared" si="4"/>
        <v>17</v>
      </c>
      <c r="B26" s="57" t="str">
        <f>IF('Setup &amp; Summary'!$N$14&gt;A26,B25+1,"")</f>
        <v/>
      </c>
      <c r="C26" s="71"/>
      <c r="D26" s="72"/>
      <c r="E26" s="72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68" t="str">
        <f>IF(B26="","",IF(B26='Setup &amp; Summary'!$N$14,J26-H26,I27-$N$5))</f>
        <v/>
      </c>
      <c r="J26" s="22" t="str">
        <f>IF(B26="","",IF(B26='Setup &amp; Summary'!$N$14,INDEX(E!J:J,MATCH(MAX(E!B:B)/2,E!B:B)),I26+H26))</f>
        <v/>
      </c>
      <c r="K26" s="23" t="str">
        <f>IF(B26="","",J26*$N$7)</f>
        <v/>
      </c>
      <c r="L26" s="59"/>
      <c r="M26" s="60" t="str">
        <f>IF(B26="","",IF(B26*2='Setup &amp; Summary'!$N$14,"midstation row!",""))</f>
        <v/>
      </c>
    </row>
    <row r="27" spans="1:14" x14ac:dyDescent="0.2">
      <c r="A27" s="69">
        <f t="shared" si="4"/>
        <v>18</v>
      </c>
      <c r="B27" s="57" t="str">
        <f>IF('Setup &amp; Summary'!$N$14&gt;A27,B26+1,"")</f>
        <v/>
      </c>
      <c r="C27" s="71"/>
      <c r="D27" s="72"/>
      <c r="E27" s="72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68" t="str">
        <f>IF(B27="","",IF(B27='Setup &amp; Summary'!$N$14,J27-H27,I28-$N$5))</f>
        <v/>
      </c>
      <c r="J27" s="22" t="str">
        <f>IF(B27="","",IF(B27='Setup &amp; Summary'!$N$14,INDEX(E!J:J,MATCH(MAX(E!B:B)/2,E!B:B)),I27+H27))</f>
        <v/>
      </c>
      <c r="K27" s="23" t="str">
        <f t="shared" si="0"/>
        <v/>
      </c>
      <c r="M27" s="60" t="str">
        <f>IF(B27="","",IF(B27*2='Setup &amp; Summary'!$N$14,"midstation row!",""))</f>
        <v/>
      </c>
    </row>
    <row r="28" spans="1:14" x14ac:dyDescent="0.2">
      <c r="A28" s="69">
        <f t="shared" si="4"/>
        <v>19</v>
      </c>
      <c r="B28" s="57" t="str">
        <f>IF('Setup &amp; Summary'!$N$14&gt;A28,B27+1,"")</f>
        <v/>
      </c>
      <c r="C28" s="71"/>
      <c r="D28" s="72"/>
      <c r="E28" s="72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68" t="str">
        <f>IF(B28="","",IF(B28='Setup &amp; Summary'!$N$14,J28-H28,I29-$N$5))</f>
        <v/>
      </c>
      <c r="J28" s="22" t="str">
        <f>IF(B28="","",IF(B28='Setup &amp; Summary'!$N$14,INDEX(E!J:J,MATCH(MAX(E!B:B)/2,E!B:B)),I28+H28))</f>
        <v/>
      </c>
      <c r="K28" s="23" t="str">
        <f t="shared" si="0"/>
        <v/>
      </c>
      <c r="M28" s="60" t="str">
        <f>IF(B28="","",IF(B28*2='Setup &amp; Summary'!$N$14,"midstation row!",""))</f>
        <v/>
      </c>
    </row>
    <row r="29" spans="1:14" x14ac:dyDescent="0.2">
      <c r="A29" s="69">
        <f t="shared" si="4"/>
        <v>20</v>
      </c>
      <c r="B29" s="57" t="str">
        <f>IF('Setup &amp; Summary'!$N$14&gt;A29,B28+1,"")</f>
        <v/>
      </c>
      <c r="C29" s="71"/>
      <c r="D29" s="72"/>
      <c r="E29" s="72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68" t="str">
        <f>IF(B29="","",IF(B29='Setup &amp; Summary'!$N$14,J29-H29,I30-$N$5))</f>
        <v/>
      </c>
      <c r="J29" s="22" t="str">
        <f>IF(B29="","",IF(B29='Setup &amp; Summary'!$N$14,INDEX(E!J:J,MATCH(MAX(E!B:B)/2,E!B:B)),I29+H29))</f>
        <v/>
      </c>
      <c r="K29" s="23" t="str">
        <f t="shared" si="0"/>
        <v/>
      </c>
      <c r="M29" s="60" t="str">
        <f>IF(B29="","",IF(B29*2='Setup &amp; Summary'!$N$14,"midstation row!",""))</f>
        <v/>
      </c>
    </row>
    <row r="30" spans="1:14" x14ac:dyDescent="0.2">
      <c r="A30" s="69">
        <f t="shared" si="4"/>
        <v>21</v>
      </c>
      <c r="B30" s="57" t="str">
        <f>IF('Setup &amp; Summary'!$N$14&gt;A30,B29+1,"")</f>
        <v/>
      </c>
      <c r="C30" s="71"/>
      <c r="D30" s="72"/>
      <c r="E30" s="72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68" t="str">
        <f>IF(B30="","",IF(B30='Setup &amp; Summary'!$N$14,J30-H30,I31-$N$5))</f>
        <v/>
      </c>
      <c r="J30" s="22" t="str">
        <f>IF(B30="","",IF(B30='Setup &amp; Summary'!$N$14,INDEX(E!J:J,MATCH(MAX(E!B:B)/2,E!B:B)),I30+H30))</f>
        <v/>
      </c>
      <c r="K30" s="23" t="str">
        <f t="shared" si="0"/>
        <v/>
      </c>
      <c r="M30" s="60" t="str">
        <f>IF(B30="","",IF(B30*2='Setup &amp; Summary'!$N$14,"midstation row!",""))</f>
        <v/>
      </c>
    </row>
    <row r="31" spans="1:14" x14ac:dyDescent="0.2">
      <c r="A31" s="69">
        <f t="shared" si="4"/>
        <v>22</v>
      </c>
      <c r="B31" s="57" t="str">
        <f>IF('Setup &amp; Summary'!$N$14&gt;A31,B30+1,"")</f>
        <v/>
      </c>
      <c r="C31" s="71"/>
      <c r="D31" s="72"/>
      <c r="E31" s="72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68" t="str">
        <f>IF(B31="","",IF(B31='Setup &amp; Summary'!$N$14,J31-H31,I32-$N$5))</f>
        <v/>
      </c>
      <c r="J31" s="22" t="str">
        <f>IF(B31="","",IF(B31='Setup &amp; Summary'!$N$14,INDEX(E!J:J,MATCH(MAX(E!B:B)/2,E!B:B)),I31+H31))</f>
        <v/>
      </c>
      <c r="K31" s="23" t="str">
        <f t="shared" si="0"/>
        <v/>
      </c>
      <c r="M31" s="60" t="str">
        <f>IF(B31="","",IF(B31*2='Setup &amp; Summary'!$N$14,"midstation row!",""))</f>
        <v/>
      </c>
    </row>
    <row r="32" spans="1:14" x14ac:dyDescent="0.2">
      <c r="A32" s="69">
        <f t="shared" si="4"/>
        <v>23</v>
      </c>
      <c r="B32" s="57" t="str">
        <f>IF('Setup &amp; Summary'!$N$14&gt;A32,B31+1,"")</f>
        <v/>
      </c>
      <c r="C32" s="71"/>
      <c r="D32" s="72"/>
      <c r="E32" s="72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68" t="str">
        <f>IF(B32="","",IF(B32='Setup &amp; Summary'!$N$14,J32-H32,I33-$N$5))</f>
        <v/>
      </c>
      <c r="J32" s="22" t="str">
        <f>IF(B32="","",IF(B32='Setup &amp; Summary'!$N$14,INDEX(E!J:J,MATCH(MAX(E!B:B)/2,E!B:B)),I32+H32))</f>
        <v/>
      </c>
      <c r="K32" s="23" t="str">
        <f t="shared" si="0"/>
        <v/>
      </c>
      <c r="M32" s="60" t="str">
        <f>IF(B32="","",IF(B32*2='Setup &amp; Summary'!$N$14,"midstation row!",""))</f>
        <v/>
      </c>
    </row>
    <row r="33" spans="1:13" x14ac:dyDescent="0.2">
      <c r="A33" s="69">
        <f t="shared" si="4"/>
        <v>24</v>
      </c>
      <c r="B33" s="57" t="str">
        <f>IF('Setup &amp; Summary'!$N$14&gt;A33,B32+1,"")</f>
        <v/>
      </c>
      <c r="C33" s="71"/>
      <c r="D33" s="72"/>
      <c r="E33" s="72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68" t="str">
        <f>IF(B33="","",IF(B33='Setup &amp; Summary'!$N$14,J33-H33,I34-$N$5))</f>
        <v/>
      </c>
      <c r="J33" s="22" t="str">
        <f>IF(B33="","",IF(B33='Setup &amp; Summary'!$N$14,INDEX(E!J:J,MATCH(MAX(E!B:B)/2,E!B:B)),I33+H33))</f>
        <v/>
      </c>
      <c r="K33" s="23" t="str">
        <f t="shared" si="0"/>
        <v/>
      </c>
      <c r="M33" s="60" t="str">
        <f>IF(B33="","",IF(B33*2='Setup &amp; Summary'!$N$14,"midstation row!",""))</f>
        <v/>
      </c>
    </row>
    <row r="34" spans="1:13" x14ac:dyDescent="0.2">
      <c r="A34" s="69">
        <f t="shared" si="4"/>
        <v>25</v>
      </c>
      <c r="B34" s="57" t="str">
        <f>IF('Setup &amp; Summary'!$N$14&gt;A34,B33+1,"")</f>
        <v/>
      </c>
      <c r="C34" s="71"/>
      <c r="D34" s="72"/>
      <c r="E34" s="72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68" t="str">
        <f>IF(B34="","",IF(B34='Setup &amp; Summary'!$N$14,J34-H34,I35-$N$5))</f>
        <v/>
      </c>
      <c r="J34" s="22" t="str">
        <f>IF(B34="","",IF(B34='Setup &amp; Summary'!$N$14,INDEX(E!J:J,MATCH(MAX(E!B:B)/2,E!B:B)),I34+H34))</f>
        <v/>
      </c>
      <c r="K34" s="23" t="str">
        <f t="shared" si="0"/>
        <v/>
      </c>
      <c r="M34" s="60" t="str">
        <f>IF(B34="","",IF(B34*2='Setup &amp; Summary'!$N$14,"midstation row!",""))</f>
        <v/>
      </c>
    </row>
    <row r="35" spans="1:13" x14ac:dyDescent="0.2">
      <c r="A35" s="69">
        <f t="shared" si="4"/>
        <v>26</v>
      </c>
      <c r="B35" s="57" t="str">
        <f>IF('Setup &amp; Summary'!$N$14&gt;A35,B34+1,"")</f>
        <v/>
      </c>
      <c r="C35" s="71"/>
      <c r="D35" s="72"/>
      <c r="E35" s="72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68" t="str">
        <f>IF(B35="","",IF(B35='Setup &amp; Summary'!$N$14,J35-H35,I36-$N$5))</f>
        <v/>
      </c>
      <c r="J35" s="22" t="str">
        <f>IF(B35="","",IF(B35='Setup &amp; Summary'!$N$14,INDEX(E!J:J,MATCH(MAX(E!B:B)/2,E!B:B)),I35+H35))</f>
        <v/>
      </c>
      <c r="K35" s="23" t="str">
        <f t="shared" si="0"/>
        <v/>
      </c>
      <c r="M35" s="60" t="str">
        <f>IF(B35="","",IF(B35*2='Setup &amp; Summary'!$N$14,"midstation row!",""))</f>
        <v/>
      </c>
    </row>
    <row r="36" spans="1:13" x14ac:dyDescent="0.2">
      <c r="A36" s="69">
        <f t="shared" si="4"/>
        <v>27</v>
      </c>
      <c r="B36" s="57" t="str">
        <f>IF('Setup &amp; Summary'!$N$14&gt;A36,B35+1,"")</f>
        <v/>
      </c>
      <c r="C36" s="71"/>
      <c r="D36" s="72"/>
      <c r="E36" s="72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68" t="str">
        <f>IF(B36="","",IF(B36='Setup &amp; Summary'!$N$14,J36-H36,I37-$N$5))</f>
        <v/>
      </c>
      <c r="J36" s="22" t="str">
        <f>IF(B36="","",IF(B36='Setup &amp; Summary'!$N$14,INDEX(E!J:J,MATCH(MAX(E!B:B)/2,E!B:B)),I36+H36))</f>
        <v/>
      </c>
      <c r="K36" s="23" t="str">
        <f t="shared" si="0"/>
        <v/>
      </c>
      <c r="M36" s="60" t="str">
        <f>IF(B36="","",IF(B36*2='Setup &amp; Summary'!$N$14,"midstation row!",""))</f>
        <v/>
      </c>
    </row>
    <row r="37" spans="1:13" x14ac:dyDescent="0.2">
      <c r="A37" s="69">
        <f t="shared" si="4"/>
        <v>28</v>
      </c>
      <c r="B37" s="57" t="str">
        <f>IF('Setup &amp; Summary'!$N$14&gt;A37,B36+1,"")</f>
        <v/>
      </c>
      <c r="C37" s="71"/>
      <c r="D37" s="72"/>
      <c r="E37" s="72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68" t="str">
        <f>IF(B37="","",IF(B37='Setup &amp; Summary'!$N$14,J37-H37,I38-$N$5))</f>
        <v/>
      </c>
      <c r="J37" s="22" t="str">
        <f>IF(B37="","",IF(B37='Setup &amp; Summary'!$N$14,INDEX(E!J:J,MATCH(MAX(E!B:B)/2,E!B:B)),I37+H37))</f>
        <v/>
      </c>
      <c r="K37" s="23" t="str">
        <f t="shared" si="0"/>
        <v/>
      </c>
      <c r="M37" s="60" t="str">
        <f>IF(B37="","",IF(B37*2='Setup &amp; Summary'!$N$14,"midstation row!",""))</f>
        <v/>
      </c>
    </row>
    <row r="38" spans="1:13" x14ac:dyDescent="0.2">
      <c r="A38" s="69">
        <f t="shared" si="4"/>
        <v>29</v>
      </c>
      <c r="B38" s="57" t="str">
        <f>IF('Setup &amp; Summary'!$N$14&gt;A38,B37+1,"")</f>
        <v/>
      </c>
      <c r="C38" s="71"/>
      <c r="D38" s="72"/>
      <c r="E38" s="72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68" t="str">
        <f>IF(B38="","",IF(B38='Setup &amp; Summary'!$N$14,J38-H38,I39-$N$5))</f>
        <v/>
      </c>
      <c r="J38" s="22" t="str">
        <f>IF(B38="","",IF(B38='Setup &amp; Summary'!$N$14,INDEX(E!J:J,MATCH(MAX(E!B:B)/2,E!B:B)),I38+H38))</f>
        <v/>
      </c>
      <c r="K38" s="23" t="str">
        <f t="shared" si="0"/>
        <v/>
      </c>
      <c r="M38" s="60" t="str">
        <f>IF(B38="","",IF(B38*2='Setup &amp; Summary'!$N$14,"midstation row!",""))</f>
        <v/>
      </c>
    </row>
    <row r="39" spans="1:13" x14ac:dyDescent="0.2">
      <c r="A39" s="69">
        <f t="shared" si="4"/>
        <v>30</v>
      </c>
      <c r="B39" s="57" t="str">
        <f>IF('Setup &amp; Summary'!$N$14&gt;A39,B38+1,"")</f>
        <v/>
      </c>
      <c r="C39" s="71"/>
      <c r="D39" s="72"/>
      <c r="E39" s="72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68" t="str">
        <f>IF(B39="","",IF(B39='Setup &amp; Summary'!$N$14,J39-H39,I40-$N$5))</f>
        <v/>
      </c>
      <c r="J39" s="22" t="str">
        <f>IF(B39="","",IF(B39='Setup &amp; Summary'!$N$14,INDEX(E!J:J,MATCH(MAX(E!B:B)/2,E!B:B)),I39+H39))</f>
        <v/>
      </c>
      <c r="K39" s="23" t="str">
        <f t="shared" si="0"/>
        <v/>
      </c>
      <c r="M39" s="60" t="str">
        <f>IF(B39="","",IF(B39*2='Setup &amp; Summary'!$N$14,"midstation row!",""))</f>
        <v/>
      </c>
    </row>
    <row r="40" spans="1:13" x14ac:dyDescent="0.2">
      <c r="A40" s="69">
        <f t="shared" si="4"/>
        <v>31</v>
      </c>
      <c r="B40" s="57" t="str">
        <f>IF('Setup &amp; Summary'!$N$14&gt;A40,B39+1,"")</f>
        <v/>
      </c>
      <c r="C40" s="71"/>
      <c r="D40" s="72"/>
      <c r="E40" s="72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68" t="str">
        <f>IF(B40="","",IF(B40='Setup &amp; Summary'!$N$14,J40-H40,I41-$N$5))</f>
        <v/>
      </c>
      <c r="J40" s="22" t="str">
        <f>IF(B40="","",IF(B40='Setup &amp; Summary'!$N$14,INDEX(E!J:J,MATCH(MAX(E!B:B)/2,E!B:B)),I40+H40))</f>
        <v/>
      </c>
      <c r="K40" s="23" t="str">
        <f t="shared" si="0"/>
        <v/>
      </c>
      <c r="M40" s="60" t="str">
        <f>IF(B40="","",IF(B40*2='Setup &amp; Summary'!$N$14,"midstation row!",""))</f>
        <v/>
      </c>
    </row>
    <row r="41" spans="1:13" x14ac:dyDescent="0.2">
      <c r="A41" s="69">
        <f t="shared" si="4"/>
        <v>32</v>
      </c>
      <c r="B41" s="57" t="str">
        <f>IF('Setup &amp; Summary'!$N$14&gt;A41,B40+1,"")</f>
        <v/>
      </c>
      <c r="C41" s="71"/>
      <c r="D41" s="72"/>
      <c r="E41" s="72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68" t="str">
        <f>IF(B41="","",IF(B41='Setup &amp; Summary'!$N$14,J41-H41,I42-$N$5))</f>
        <v/>
      </c>
      <c r="J41" s="22" t="str">
        <f>IF(B41="","",IF(B41='Setup &amp; Summary'!$N$14,INDEX(E!J:J,MATCH(MAX(E!B:B)/2,E!B:B)),I41+H41))</f>
        <v/>
      </c>
      <c r="K41" s="23" t="str">
        <f t="shared" si="0"/>
        <v/>
      </c>
      <c r="M41" s="60" t="str">
        <f>IF(B41="","",IF(B41*2='Setup &amp; Summary'!$N$14,"midstation row!",""))</f>
        <v/>
      </c>
    </row>
    <row r="42" spans="1:13" x14ac:dyDescent="0.2">
      <c r="A42" s="69">
        <f t="shared" si="4"/>
        <v>33</v>
      </c>
      <c r="B42" s="57" t="str">
        <f>IF('Setup &amp; Summary'!$N$14&gt;A42,B41+1,"")</f>
        <v/>
      </c>
      <c r="C42" s="71"/>
      <c r="D42" s="72"/>
      <c r="E42" s="72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68" t="str">
        <f>IF(B42="","",IF(B42='Setup &amp; Summary'!$N$14,J42-H42,I43-$N$5))</f>
        <v/>
      </c>
      <c r="J42" s="22" t="str">
        <f>IF(B42="","",IF(B42='Setup &amp; Summary'!$N$14,INDEX(E!J:J,MATCH(MAX(E!B:B)/2,E!B:B)),I42+H42))</f>
        <v/>
      </c>
      <c r="K42" s="23" t="str">
        <f t="shared" si="0"/>
        <v/>
      </c>
      <c r="M42" s="60" t="str">
        <f>IF(B42="","",IF(B42*2='Setup &amp; Summary'!$N$14,"midstation row!",""))</f>
        <v/>
      </c>
    </row>
    <row r="43" spans="1:13" x14ac:dyDescent="0.2">
      <c r="A43" s="69">
        <f t="shared" si="4"/>
        <v>34</v>
      </c>
      <c r="B43" s="57" t="str">
        <f>IF('Setup &amp; Summary'!$N$14&gt;A43,B42+1,"")</f>
        <v/>
      </c>
      <c r="C43" s="71"/>
      <c r="D43" s="72"/>
      <c r="E43" s="72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68" t="str">
        <f>IF(B43="","",IF(B43='Setup &amp; Summary'!$N$14,J43-H43,I44-$N$5))</f>
        <v/>
      </c>
      <c r="J43" s="22" t="str">
        <f>IF(B43="","",IF(B43='Setup &amp; Summary'!$N$14,INDEX(E!J:J,MATCH(MAX(E!B:B)/2,E!B:B)),I43+H43))</f>
        <v/>
      </c>
      <c r="K43" s="23" t="str">
        <f t="shared" si="0"/>
        <v/>
      </c>
      <c r="M43" s="60" t="str">
        <f>IF(B43="","",IF(B43*2='Setup &amp; Summary'!$N$14,"midstation row!",""))</f>
        <v/>
      </c>
    </row>
    <row r="44" spans="1:13" x14ac:dyDescent="0.2">
      <c r="A44" s="69">
        <f t="shared" si="4"/>
        <v>35</v>
      </c>
      <c r="B44" s="57" t="str">
        <f>IF('Setup &amp; Summary'!$N$14&gt;A44,B43+1,"")</f>
        <v/>
      </c>
      <c r="C44" s="71"/>
      <c r="D44" s="72"/>
      <c r="E44" s="72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68" t="str">
        <f>IF(B44="","",IF(B44='Setup &amp; Summary'!$N$14,J44-H44,I45-$N$5))</f>
        <v/>
      </c>
      <c r="J44" s="22" t="str">
        <f>IF(B44="","",IF(B44='Setup &amp; Summary'!$N$14,INDEX(E!J:J,MATCH(MAX(E!B:B)/2,E!B:B)),I44+H44))</f>
        <v/>
      </c>
      <c r="K44" s="23" t="str">
        <f t="shared" si="0"/>
        <v/>
      </c>
      <c r="M44" s="60" t="str">
        <f>IF(B44="","",IF(B44*2='Setup &amp; Summary'!$N$14,"midstation row!",""))</f>
        <v/>
      </c>
    </row>
    <row r="45" spans="1:13" x14ac:dyDescent="0.2">
      <c r="A45" s="69">
        <f t="shared" si="4"/>
        <v>36</v>
      </c>
      <c r="B45" s="57" t="str">
        <f>IF('Setup &amp; Summary'!$N$14&gt;A45,B44+1,"")</f>
        <v/>
      </c>
      <c r="C45" s="71"/>
      <c r="D45" s="72"/>
      <c r="E45" s="72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68" t="str">
        <f>IF(B45="","",IF(B45='Setup &amp; Summary'!$N$14,J45-H45,I46-$N$5))</f>
        <v/>
      </c>
      <c r="J45" s="22" t="str">
        <f>IF(B45="","",IF(B45='Setup &amp; Summary'!$N$14,INDEX(E!J:J,MATCH(MAX(E!B:B)/2,E!B:B)),I45+H45))</f>
        <v/>
      </c>
      <c r="K45" s="23" t="str">
        <f t="shared" si="0"/>
        <v/>
      </c>
      <c r="M45" s="60" t="str">
        <f>IF(B45="","",IF(B45*2='Setup &amp; Summary'!$N$14,"midstation row!",""))</f>
        <v/>
      </c>
    </row>
    <row r="46" spans="1:13" x14ac:dyDescent="0.2">
      <c r="A46" s="69">
        <f t="shared" si="4"/>
        <v>37</v>
      </c>
      <c r="B46" s="57" t="str">
        <f>IF('Setup &amp; Summary'!$N$14&gt;A46,B45+1,"")</f>
        <v/>
      </c>
      <c r="C46" s="71"/>
      <c r="D46" s="72"/>
      <c r="E46" s="72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68" t="str">
        <f>IF(B46="","",IF(B46='Setup &amp; Summary'!$N$14,J46-H46,I47-$N$5))</f>
        <v/>
      </c>
      <c r="J46" s="22" t="str">
        <f>IF(B46="","",IF(B46='Setup &amp; Summary'!$N$14,INDEX(E!J:J,MATCH(MAX(E!B:B)/2,E!B:B)),I46+H46))</f>
        <v/>
      </c>
      <c r="K46" s="23" t="str">
        <f t="shared" si="0"/>
        <v/>
      </c>
      <c r="M46" s="60" t="str">
        <f>IF(B46="","",IF(B46*2='Setup &amp; Summary'!$N$14,"midstation row!",""))</f>
        <v/>
      </c>
    </row>
    <row r="47" spans="1:13" x14ac:dyDescent="0.2">
      <c r="A47" s="69">
        <f t="shared" si="4"/>
        <v>38</v>
      </c>
      <c r="B47" s="57" t="str">
        <f>IF('Setup &amp; Summary'!$N$14&gt;A47,B46+1,"")</f>
        <v/>
      </c>
      <c r="C47" s="71"/>
      <c r="D47" s="72"/>
      <c r="E47" s="72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68" t="str">
        <f>IF(B47="","",IF(B47='Setup &amp; Summary'!$N$14,J47-H47,I48-$N$5))</f>
        <v/>
      </c>
      <c r="J47" s="22" t="str">
        <f>IF(B47="","",IF(B47='Setup &amp; Summary'!$N$14,INDEX(E!J:J,MATCH(MAX(E!B:B)/2,E!B:B)),I47+H47))</f>
        <v/>
      </c>
      <c r="K47" s="23" t="str">
        <f t="shared" si="0"/>
        <v/>
      </c>
      <c r="M47" s="60" t="str">
        <f>IF(B47="","",IF(B47*2='Setup &amp; Summary'!$N$14,"midstation row!",""))</f>
        <v/>
      </c>
    </row>
    <row r="48" spans="1:13" x14ac:dyDescent="0.2">
      <c r="A48" s="69">
        <f t="shared" si="4"/>
        <v>39</v>
      </c>
      <c r="B48" s="57" t="str">
        <f>IF('Setup &amp; Summary'!$N$14&gt;A48,B47+1,"")</f>
        <v/>
      </c>
      <c r="C48" s="71"/>
      <c r="D48" s="72"/>
      <c r="E48" s="72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68" t="str">
        <f>IF(B48="","",IF(B48='Setup &amp; Summary'!$N$14,J48-H48,I49-$N$5))</f>
        <v/>
      </c>
      <c r="J48" s="22" t="str">
        <f>IF(B48="","",IF(B48='Setup &amp; Summary'!$N$14,INDEX(E!J:J,MATCH(MAX(E!B:B)/2,E!B:B)),I48+H48))</f>
        <v/>
      </c>
      <c r="K48" s="23" t="str">
        <f t="shared" si="0"/>
        <v/>
      </c>
      <c r="M48" s="60" t="str">
        <f>IF(B48="","",IF(B48*2='Setup &amp; Summary'!$N$14,"midstation row!",""))</f>
        <v/>
      </c>
    </row>
    <row r="49" spans="1:13" x14ac:dyDescent="0.2">
      <c r="A49" s="69">
        <f t="shared" si="4"/>
        <v>40</v>
      </c>
      <c r="B49" s="57" t="str">
        <f>IF('Setup &amp; Summary'!$N$14&gt;A49,B48+1,"")</f>
        <v/>
      </c>
      <c r="C49" s="71"/>
      <c r="D49" s="72"/>
      <c r="E49" s="72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68" t="str">
        <f>IF(B49="","",IF(B49='Setup &amp; Summary'!$N$14,J49-H49,I50-$N$5))</f>
        <v/>
      </c>
      <c r="J49" s="22" t="str">
        <f>IF(B49="","",IF(B49='Setup &amp; Summary'!$N$14,INDEX(E!J:J,MATCH(MAX(E!B:B)/2,E!B:B)),I49+H49))</f>
        <v/>
      </c>
      <c r="K49" s="23" t="str">
        <f t="shared" si="0"/>
        <v/>
      </c>
      <c r="M49" s="60" t="str">
        <f>IF(B49="","",IF(B49*2='Setup &amp; Summary'!$N$14,"midstation row!",""))</f>
        <v/>
      </c>
    </row>
    <row r="50" spans="1:13" x14ac:dyDescent="0.2">
      <c r="A50" s="69">
        <f t="shared" si="4"/>
        <v>41</v>
      </c>
      <c r="B50" s="57" t="str">
        <f>IF('Setup &amp; Summary'!$N$14&gt;A50,B49+1,"")</f>
        <v/>
      </c>
      <c r="C50" s="71"/>
      <c r="D50" s="72"/>
      <c r="E50" s="72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68" t="str">
        <f>IF(B50="","",IF(B50='Setup &amp; Summary'!$N$14,J50-H50,I51-$N$5))</f>
        <v/>
      </c>
      <c r="J50" s="22" t="str">
        <f>IF(B50="","",IF(B50='Setup &amp; Summary'!$N$14,INDEX(E!J:J,MATCH(MAX(E!B:B)/2,E!B:B)),I50+H50))</f>
        <v/>
      </c>
      <c r="K50" s="23" t="str">
        <f t="shared" si="0"/>
        <v/>
      </c>
      <c r="M50" s="60" t="str">
        <f>IF(B50="","",IF(B50*2='Setup &amp; Summary'!$N$14,"midstation row!",""))</f>
        <v/>
      </c>
    </row>
    <row r="51" spans="1:13" x14ac:dyDescent="0.2">
      <c r="A51" s="69">
        <f t="shared" si="4"/>
        <v>42</v>
      </c>
      <c r="B51" s="57" t="str">
        <f>IF('Setup &amp; Summary'!$N$14&gt;A51,B50+1,"")</f>
        <v/>
      </c>
      <c r="C51" s="71"/>
      <c r="D51" s="72"/>
      <c r="E51" s="72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68" t="str">
        <f>IF(B51="","",IF(B51='Setup &amp; Summary'!$N$14,J51-H51,I52-$N$5))</f>
        <v/>
      </c>
      <c r="J51" s="22" t="str">
        <f>IF(B51="","",IF(B51='Setup &amp; Summary'!$N$14,INDEX(E!J:J,MATCH(MAX(E!B:B)/2,E!B:B)),I51+H51))</f>
        <v/>
      </c>
      <c r="K51" s="23" t="str">
        <f t="shared" si="0"/>
        <v/>
      </c>
      <c r="M51" s="60" t="str">
        <f>IF(B51="","",IF(B51*2='Setup &amp; Summary'!$N$14,"midstation row!",""))</f>
        <v/>
      </c>
    </row>
    <row r="52" spans="1:13" x14ac:dyDescent="0.2">
      <c r="A52" s="69">
        <f t="shared" si="4"/>
        <v>43</v>
      </c>
      <c r="B52" s="57" t="str">
        <f>IF('Setup &amp; Summary'!$N$14&gt;A52,B51+1,"")</f>
        <v/>
      </c>
      <c r="C52" s="71"/>
      <c r="D52" s="72"/>
      <c r="E52" s="72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68" t="str">
        <f>IF(B52="","",IF(B52='Setup &amp; Summary'!$N$14,J52-H52,I53-$N$5))</f>
        <v/>
      </c>
      <c r="J52" s="22" t="str">
        <f>IF(B52="","",IF(B52='Setup &amp; Summary'!$N$14,INDEX(E!J:J,MATCH(MAX(E!B:B)/2,E!B:B)),I52+H52))</f>
        <v/>
      </c>
      <c r="K52" s="23" t="str">
        <f t="shared" si="0"/>
        <v/>
      </c>
      <c r="M52" s="60" t="str">
        <f>IF(B52="","",IF(B52*2='Setup &amp; Summary'!$N$14,"midstation row!",""))</f>
        <v/>
      </c>
    </row>
    <row r="53" spans="1:13" x14ac:dyDescent="0.2">
      <c r="A53" s="69">
        <f t="shared" si="4"/>
        <v>44</v>
      </c>
      <c r="B53" s="57" t="str">
        <f>IF('Setup &amp; Summary'!$N$14&gt;A53,B52+1,"")</f>
        <v/>
      </c>
      <c r="C53" s="71"/>
      <c r="D53" s="72"/>
      <c r="E53" s="72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68" t="str">
        <f>IF(B53="","",IF(B53='Setup &amp; Summary'!$N$14,J53-H53,I54-$N$5))</f>
        <v/>
      </c>
      <c r="J53" s="22" t="str">
        <f>IF(B53="","",IF(B53='Setup &amp; Summary'!$N$14,INDEX(E!J:J,MATCH(MAX(E!B:B)/2,E!B:B)),I53+H53))</f>
        <v/>
      </c>
      <c r="K53" s="23" t="str">
        <f t="shared" si="0"/>
        <v/>
      </c>
      <c r="M53" s="60" t="str">
        <f>IF(B53="","",IF(B53*2='Setup &amp; Summary'!$N$14,"midstation row!",""))</f>
        <v/>
      </c>
    </row>
    <row r="54" spans="1:13" x14ac:dyDescent="0.2">
      <c r="A54" s="69">
        <f t="shared" si="4"/>
        <v>45</v>
      </c>
      <c r="B54" s="57" t="str">
        <f>IF('Setup &amp; Summary'!$N$14&gt;A54,B53+1,"")</f>
        <v/>
      </c>
      <c r="C54" s="71"/>
      <c r="D54" s="72"/>
      <c r="E54" s="72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68" t="str">
        <f>IF(B54="","",IF(B54='Setup &amp; Summary'!$N$14,J54-H54,I55-$N$5))</f>
        <v/>
      </c>
      <c r="J54" s="22" t="str">
        <f>IF(B54="","",IF(B54='Setup &amp; Summary'!$N$14,INDEX(E!J:J,MATCH(MAX(E!B:B)/2,E!B:B)),I54+H54))</f>
        <v/>
      </c>
      <c r="K54" s="23" t="str">
        <f t="shared" si="0"/>
        <v/>
      </c>
      <c r="M54" s="60" t="str">
        <f>IF(B54="","",IF(B54*2='Setup &amp; Summary'!$N$14,"midstation row!",""))</f>
        <v/>
      </c>
    </row>
    <row r="55" spans="1:13" x14ac:dyDescent="0.2">
      <c r="A55" s="69">
        <f t="shared" si="4"/>
        <v>46</v>
      </c>
      <c r="B55" s="57" t="str">
        <f>IF('Setup &amp; Summary'!$N$14&gt;A55,B54+1,"")</f>
        <v/>
      </c>
      <c r="C55" s="71"/>
      <c r="D55" s="72"/>
      <c r="E55" s="72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68" t="str">
        <f>IF(B55="","",IF(B55='Setup &amp; Summary'!$N$14,J55-H55,I56-$N$5))</f>
        <v/>
      </c>
      <c r="J55" s="22" t="str">
        <f>IF(B55="","",IF(B55='Setup &amp; Summary'!$N$14,INDEX(E!J:J,MATCH(MAX(E!B:B)/2,E!B:B)),I55+H55))</f>
        <v/>
      </c>
      <c r="K55" s="23" t="str">
        <f t="shared" si="0"/>
        <v/>
      </c>
      <c r="M55" s="60" t="str">
        <f>IF(B55="","",IF(B55*2='Setup &amp; Summary'!$N$14,"midstation row!",""))</f>
        <v/>
      </c>
    </row>
    <row r="56" spans="1:13" x14ac:dyDescent="0.2">
      <c r="A56" s="69">
        <f t="shared" si="4"/>
        <v>47</v>
      </c>
      <c r="B56" s="57" t="str">
        <f>IF('Setup &amp; Summary'!$N$14&gt;A56,B55+1,"")</f>
        <v/>
      </c>
      <c r="C56" s="71"/>
      <c r="D56" s="72"/>
      <c r="E56" s="72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68" t="str">
        <f>IF(B56="","",IF(B56='Setup &amp; Summary'!$N$14,J56-H56,I57-$N$5))</f>
        <v/>
      </c>
      <c r="J56" s="22" t="str">
        <f>IF(B56="","",IF(B56='Setup &amp; Summary'!$N$14,INDEX(E!J:J,MATCH(MAX(E!B:B)/2,E!B:B)),I56+H56))</f>
        <v/>
      </c>
      <c r="K56" s="23" t="str">
        <f t="shared" si="0"/>
        <v/>
      </c>
      <c r="M56" s="60" t="str">
        <f>IF(B56="","",IF(B56*2='Setup &amp; Summary'!$N$14,"midstation row!",""))</f>
        <v/>
      </c>
    </row>
    <row r="57" spans="1:13" x14ac:dyDescent="0.2">
      <c r="A57" s="69">
        <f t="shared" si="4"/>
        <v>48</v>
      </c>
      <c r="B57" s="57" t="str">
        <f>IF('Setup &amp; Summary'!$N$14&gt;A57,B56+1,"")</f>
        <v/>
      </c>
      <c r="C57" s="71"/>
      <c r="D57" s="72"/>
      <c r="E57" s="72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68" t="str">
        <f>IF(B57="","",IF(B57='Setup &amp; Summary'!$N$14,J57-H57,I58-$N$5))</f>
        <v/>
      </c>
      <c r="J57" s="22" t="str">
        <f>IF(B57="","",IF(B57='Setup &amp; Summary'!$N$14,INDEX(E!J:J,MATCH(MAX(E!B:B)/2,E!B:B)),I57+H57))</f>
        <v/>
      </c>
      <c r="K57" s="23" t="str">
        <f t="shared" si="0"/>
        <v/>
      </c>
      <c r="M57" s="60" t="str">
        <f>IF(B57="","",IF(B57*2='Setup &amp; Summary'!$N$14,"midstation row!",""))</f>
        <v/>
      </c>
    </row>
    <row r="58" spans="1:13" x14ac:dyDescent="0.2">
      <c r="A58" s="69">
        <f t="shared" si="4"/>
        <v>49</v>
      </c>
      <c r="B58" s="57" t="str">
        <f>IF('Setup &amp; Summary'!$N$14&gt;A58,B57+1,"")</f>
        <v/>
      </c>
      <c r="C58" s="71"/>
      <c r="D58" s="72"/>
      <c r="E58" s="72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68" t="str">
        <f>IF(B58="","",IF(B58='Setup &amp; Summary'!$N$14,J58-H58,I59-$N$5))</f>
        <v/>
      </c>
      <c r="J58" s="22" t="str">
        <f>IF(B58="","",IF(B58='Setup &amp; Summary'!$N$14,INDEX(E!J:J,MATCH(MAX(E!B:B)/2,E!B:B)),I58+H58))</f>
        <v/>
      </c>
      <c r="K58" s="23" t="str">
        <f t="shared" si="0"/>
        <v/>
      </c>
      <c r="M58" s="60" t="str">
        <f>IF(B58="","",IF(B58*2='Setup &amp; Summary'!$N$14,"midstation row!",""))</f>
        <v/>
      </c>
    </row>
    <row r="59" spans="1:13" x14ac:dyDescent="0.2">
      <c r="A59" s="69">
        <f t="shared" si="4"/>
        <v>50</v>
      </c>
      <c r="B59" s="57" t="str">
        <f>IF('Setup &amp; Summary'!$N$14&gt;A59,B58+1,"")</f>
        <v/>
      </c>
      <c r="C59" s="71"/>
      <c r="D59" s="72"/>
      <c r="E59" s="72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68" t="str">
        <f>IF(B59="","",IF(B59='Setup &amp; Summary'!$N$14,J59-H59,I60-$N$5))</f>
        <v/>
      </c>
      <c r="J59" s="22" t="str">
        <f>IF(B59="","",IF(B59='Setup &amp; Summary'!$N$14,INDEX(E!J:J,MATCH(MAX(E!B:B)/2,E!B:B)),I59+H59))</f>
        <v/>
      </c>
      <c r="K59" s="23" t="str">
        <f t="shared" si="0"/>
        <v/>
      </c>
      <c r="M59" s="60" t="str">
        <f>IF(B59="","",IF(B59*2='Setup &amp; Summary'!$N$14,"midstation row!",""))</f>
        <v/>
      </c>
    </row>
    <row r="60" spans="1:13" x14ac:dyDescent="0.2">
      <c r="A60" s="69">
        <f t="shared" si="4"/>
        <v>51</v>
      </c>
      <c r="B60" s="57" t="str">
        <f>IF('Setup &amp; Summary'!$N$14&gt;A60,B59+1,"")</f>
        <v/>
      </c>
      <c r="C60" s="71"/>
      <c r="D60" s="72"/>
      <c r="E60" s="72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68" t="str">
        <f>IF(B60="","",IF(B60='Setup &amp; Summary'!$N$14,J60-H60,I61-$N$5))</f>
        <v/>
      </c>
      <c r="J60" s="22" t="str">
        <f>IF(B60="","",IF(B60='Setup &amp; Summary'!$N$14,INDEX(E!J:J,MATCH(MAX(E!B:B)/2,E!B:B)),I60+H60))</f>
        <v/>
      </c>
      <c r="K60" s="23" t="str">
        <f t="shared" si="0"/>
        <v/>
      </c>
      <c r="M60" s="60" t="str">
        <f>IF(B60="","",IF(B60*2='Setup &amp; Summary'!$N$14,"midstation row!",""))</f>
        <v/>
      </c>
    </row>
    <row r="61" spans="1:13" x14ac:dyDescent="0.2">
      <c r="A61" s="69">
        <f t="shared" si="4"/>
        <v>52</v>
      </c>
      <c r="B61" s="57" t="str">
        <f>IF('Setup &amp; Summary'!$N$14&gt;A61,B60+1,"")</f>
        <v/>
      </c>
      <c r="C61" s="71"/>
      <c r="D61" s="72"/>
      <c r="E61" s="72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68" t="str">
        <f>IF(B61="","",IF(B61='Setup &amp; Summary'!$N$14,J61-H61,I62-$N$5))</f>
        <v/>
      </c>
      <c r="J61" s="22" t="str">
        <f>IF(B61="","",IF(B61='Setup &amp; Summary'!$N$14,INDEX(E!J:J,MATCH(MAX(E!B:B)/2,E!B:B)),I61+H61))</f>
        <v/>
      </c>
      <c r="K61" s="23" t="str">
        <f t="shared" si="0"/>
        <v/>
      </c>
      <c r="M61" s="60" t="str">
        <f>IF(B61="","",IF(B61*2='Setup &amp; Summary'!$N$14,"midstation row!",""))</f>
        <v/>
      </c>
    </row>
    <row r="62" spans="1:13" x14ac:dyDescent="0.2">
      <c r="A62" s="69">
        <f t="shared" si="4"/>
        <v>53</v>
      </c>
      <c r="B62" s="57" t="str">
        <f>IF('Setup &amp; Summary'!$N$14&gt;A62,B61+1,"")</f>
        <v/>
      </c>
      <c r="C62" s="71"/>
      <c r="D62" s="72"/>
      <c r="E62" s="72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68" t="str">
        <f>IF(B62="","",IF(B62='Setup &amp; Summary'!$N$14,J62-H62,I63-$N$5))</f>
        <v/>
      </c>
      <c r="J62" s="22" t="str">
        <f>IF(B62="","",IF(B62='Setup &amp; Summary'!$N$14,INDEX(E!J:J,MATCH(MAX(E!B:B)/2,E!B:B)),I62+H62))</f>
        <v/>
      </c>
      <c r="K62" s="23" t="str">
        <f t="shared" si="0"/>
        <v/>
      </c>
      <c r="M62" s="60" t="str">
        <f>IF(B62="","",IF(B62*2='Setup &amp; Summary'!$N$14,"midstation row!",""))</f>
        <v/>
      </c>
    </row>
    <row r="63" spans="1:13" x14ac:dyDescent="0.2">
      <c r="A63" s="69">
        <f t="shared" si="4"/>
        <v>54</v>
      </c>
      <c r="B63" s="57" t="str">
        <f>IF('Setup &amp; Summary'!$N$14&gt;A63,B62+1,"")</f>
        <v/>
      </c>
      <c r="C63" s="71"/>
      <c r="D63" s="72"/>
      <c r="E63" s="72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68" t="str">
        <f>IF(B63="","",IF(B63='Setup &amp; Summary'!$N$14,J63-H63,I64-$N$5))</f>
        <v/>
      </c>
      <c r="J63" s="22" t="str">
        <f>IF(B63="","",IF(B63='Setup &amp; Summary'!$N$14,INDEX(E!J:J,MATCH(MAX(E!B:B)/2,E!B:B)),I63+H63))</f>
        <v/>
      </c>
      <c r="K63" s="23" t="str">
        <f t="shared" si="0"/>
        <v/>
      </c>
      <c r="M63" s="60" t="str">
        <f>IF(B63="","",IF(B63*2='Setup &amp; Summary'!$N$14,"midstation row!",""))</f>
        <v/>
      </c>
    </row>
    <row r="64" spans="1:13" x14ac:dyDescent="0.2">
      <c r="A64" s="69">
        <f t="shared" si="4"/>
        <v>55</v>
      </c>
      <c r="B64" s="57" t="str">
        <f>IF('Setup &amp; Summary'!$N$14&gt;A64,B63+1,"")</f>
        <v/>
      </c>
      <c r="C64" s="71"/>
      <c r="D64" s="72"/>
      <c r="E64" s="72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68" t="str">
        <f>IF(B64="","",IF(B64='Setup &amp; Summary'!$N$14,J64-H64,I65-$N$5))</f>
        <v/>
      </c>
      <c r="J64" s="22" t="str">
        <f>IF(B64="","",IF(B64='Setup &amp; Summary'!$N$14,INDEX(E!J:J,MATCH(MAX(E!B:B)/2,E!B:B)),I64+H64))</f>
        <v/>
      </c>
      <c r="K64" s="23" t="str">
        <f t="shared" si="0"/>
        <v/>
      </c>
      <c r="M64" s="60" t="str">
        <f>IF(B64="","",IF(B64*2='Setup &amp; Summary'!$N$14,"midstation row!",""))</f>
        <v/>
      </c>
    </row>
    <row r="65" spans="1:13" x14ac:dyDescent="0.2">
      <c r="A65" s="69">
        <f t="shared" si="4"/>
        <v>56</v>
      </c>
      <c r="B65" s="57" t="str">
        <f>IF('Setup &amp; Summary'!$N$14&gt;A65,B64+1,"")</f>
        <v/>
      </c>
      <c r="C65" s="71"/>
      <c r="D65" s="72"/>
      <c r="E65" s="72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68" t="str">
        <f>IF(B65="","",IF(B65='Setup &amp; Summary'!$N$14,J65-H65,I66-$N$5))</f>
        <v/>
      </c>
      <c r="J65" s="22" t="str">
        <f>IF(B65="","",IF(B65='Setup &amp; Summary'!$N$14,INDEX(E!J:J,MATCH(MAX(E!B:B)/2,E!B:B)),I65+H65))</f>
        <v/>
      </c>
      <c r="K65" s="23" t="str">
        <f t="shared" si="0"/>
        <v/>
      </c>
      <c r="M65" s="60" t="str">
        <f>IF(B65="","",IF(B65*2='Setup &amp; Summary'!$N$14,"midstation row!",""))</f>
        <v/>
      </c>
    </row>
    <row r="66" spans="1:13" x14ac:dyDescent="0.2">
      <c r="A66" s="69">
        <f t="shared" si="4"/>
        <v>57</v>
      </c>
      <c r="B66" s="57" t="str">
        <f>IF('Setup &amp; Summary'!$N$14&gt;A66,B65+1,"")</f>
        <v/>
      </c>
      <c r="C66" s="71"/>
      <c r="D66" s="72"/>
      <c r="E66" s="72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68" t="str">
        <f>IF(B66="","",IF(B66='Setup &amp; Summary'!$N$14,J66-H66,I67-$N$5))</f>
        <v/>
      </c>
      <c r="J66" s="22" t="str">
        <f>IF(B66="","",IF(B66='Setup &amp; Summary'!$N$14,INDEX(E!J:J,MATCH(MAX(E!B:B)/2,E!B:B)),I66+H66))</f>
        <v/>
      </c>
      <c r="K66" s="23" t="str">
        <f t="shared" si="0"/>
        <v/>
      </c>
      <c r="M66" s="60" t="str">
        <f>IF(B66="","",IF(B66*2='Setup &amp; Summary'!$N$14,"midstation row!",""))</f>
        <v/>
      </c>
    </row>
    <row r="67" spans="1:13" x14ac:dyDescent="0.2">
      <c r="A67" s="69">
        <f t="shared" si="4"/>
        <v>58</v>
      </c>
      <c r="B67" s="57" t="str">
        <f>IF('Setup &amp; Summary'!$N$14&gt;A67,B66+1,"")</f>
        <v/>
      </c>
      <c r="C67" s="71"/>
      <c r="D67" s="72"/>
      <c r="E67" s="72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68" t="str">
        <f>IF(B67="","",IF(B67='Setup &amp; Summary'!$N$14,J67-H67,I68-$N$5))</f>
        <v/>
      </c>
      <c r="J67" s="22" t="str">
        <f>IF(B67="","",IF(B67='Setup &amp; Summary'!$N$14,INDEX(E!J:J,MATCH(MAX(E!B:B)/2,E!B:B)),I67+H67))</f>
        <v/>
      </c>
      <c r="K67" s="23" t="str">
        <f t="shared" si="0"/>
        <v/>
      </c>
      <c r="M67" s="60" t="str">
        <f>IF(B67="","",IF(B67*2='Setup &amp; Summary'!$N$14,"midstation row!",""))</f>
        <v/>
      </c>
    </row>
    <row r="68" spans="1:13" x14ac:dyDescent="0.2">
      <c r="A68" s="69">
        <f t="shared" si="4"/>
        <v>59</v>
      </c>
      <c r="B68" s="57" t="str">
        <f>IF('Setup &amp; Summary'!$N$14&gt;A68,B67+1,"")</f>
        <v/>
      </c>
      <c r="C68" s="71"/>
      <c r="D68" s="72"/>
      <c r="E68" s="72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68" t="str">
        <f>IF(B68="","",IF(B68='Setup &amp; Summary'!$N$14,J68-H68,I69-$N$5))</f>
        <v/>
      </c>
      <c r="J68" s="22" t="str">
        <f>IF(B68="","",IF(B68='Setup &amp; Summary'!$N$14,INDEX(E!J:J,MATCH(MAX(E!B:B)/2,E!B:B)),I68+H68))</f>
        <v/>
      </c>
      <c r="K68" s="23" t="str">
        <f t="shared" si="0"/>
        <v/>
      </c>
      <c r="M68" s="60" t="str">
        <f>IF(B68="","",IF(B68*2='Setup &amp; Summary'!$N$14,"midstation row!",""))</f>
        <v/>
      </c>
    </row>
    <row r="69" spans="1:13" x14ac:dyDescent="0.2">
      <c r="A69" s="69">
        <f t="shared" si="4"/>
        <v>60</v>
      </c>
      <c r="B69" s="57" t="str">
        <f>IF('Setup &amp; Summary'!$N$14&gt;A69,B68+1,"")</f>
        <v/>
      </c>
      <c r="C69" s="71"/>
      <c r="D69" s="72"/>
      <c r="E69" s="72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68" t="str">
        <f>IF(B69="","",IF(B69='Setup &amp; Summary'!$N$14,J69-H69,I70-$N$5))</f>
        <v/>
      </c>
      <c r="J69" s="22" t="str">
        <f>IF(B69="","",IF(B69='Setup &amp; Summary'!$N$14,INDEX(E!J:J,MATCH(MAX(E!B:B)/2,E!B:B)),I69+H69))</f>
        <v/>
      </c>
      <c r="K69" s="23" t="str">
        <f t="shared" si="0"/>
        <v/>
      </c>
      <c r="M69" s="60" t="str">
        <f>IF(B69="","",IF(B69*2='Setup &amp; Summary'!$N$14,"midstation row!",""))</f>
        <v/>
      </c>
    </row>
    <row r="70" spans="1:13" x14ac:dyDescent="0.2">
      <c r="A70" s="69">
        <f t="shared" si="4"/>
        <v>61</v>
      </c>
      <c r="B70" s="57" t="str">
        <f>IF('Setup &amp; Summary'!$N$14&gt;A70,B69+1,"")</f>
        <v/>
      </c>
      <c r="C70" s="71"/>
      <c r="D70" s="72"/>
      <c r="E70" s="72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68" t="str">
        <f>IF(B70="","",IF(B70='Setup &amp; Summary'!$N$14,J70-H70,I71-$N$5))</f>
        <v/>
      </c>
      <c r="J70" s="22" t="str">
        <f>IF(B70="","",IF(B70='Setup &amp; Summary'!$N$14,INDEX(E!J:J,MATCH(MAX(E!B:B)/2,E!B:B)),I70+H70))</f>
        <v/>
      </c>
      <c r="K70" s="23" t="str">
        <f t="shared" si="0"/>
        <v/>
      </c>
      <c r="M70" s="60" t="str">
        <f>IF(B70="","",IF(B70*2='Setup &amp; Summary'!$N$14,"midstation row!",""))</f>
        <v/>
      </c>
    </row>
    <row r="71" spans="1:13" x14ac:dyDescent="0.2">
      <c r="A71" s="69">
        <f t="shared" si="4"/>
        <v>62</v>
      </c>
      <c r="B71" s="57" t="str">
        <f>IF('Setup &amp; Summary'!$N$14&gt;A71,B70+1,"")</f>
        <v/>
      </c>
      <c r="C71" s="71"/>
      <c r="D71" s="72"/>
      <c r="E71" s="72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68" t="str">
        <f>IF(B71="","",IF(B71='Setup &amp; Summary'!$N$14,J71-H71,I72-$N$5))</f>
        <v/>
      </c>
      <c r="J71" s="22" t="str">
        <f>IF(B71="","",IF(B71='Setup &amp; Summary'!$N$14,INDEX(E!J:J,MATCH(MAX(E!B:B)/2,E!B:B)),I71+H71))</f>
        <v/>
      </c>
      <c r="K71" s="23" t="str">
        <f t="shared" si="0"/>
        <v/>
      </c>
      <c r="M71" s="60" t="str">
        <f>IF(B71="","",IF(B71*2='Setup &amp; Summary'!$N$14,"midstation row!",""))</f>
        <v/>
      </c>
    </row>
    <row r="72" spans="1:13" x14ac:dyDescent="0.2">
      <c r="A72" s="69">
        <f t="shared" si="4"/>
        <v>63</v>
      </c>
      <c r="B72" s="57" t="str">
        <f>IF('Setup &amp; Summary'!$N$14&gt;A72,B71+1,"")</f>
        <v/>
      </c>
      <c r="C72" s="71"/>
      <c r="D72" s="72"/>
      <c r="E72" s="72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68" t="str">
        <f>IF(B72="","",IF(B72='Setup &amp; Summary'!$N$14,J72-H72,I73-$N$5))</f>
        <v/>
      </c>
      <c r="J72" s="22" t="str">
        <f>IF(B72="","",IF(B72='Setup &amp; Summary'!$N$14,INDEX(E!J:J,MATCH(MAX(E!B:B)/2,E!B:B)),I72+H72))</f>
        <v/>
      </c>
      <c r="K72" s="23" t="str">
        <f t="shared" si="0"/>
        <v/>
      </c>
      <c r="M72" s="60" t="str">
        <f>IF(B72="","",IF(B72*2='Setup &amp; Summary'!$N$14,"midstation row!",""))</f>
        <v/>
      </c>
    </row>
    <row r="73" spans="1:13" x14ac:dyDescent="0.2">
      <c r="A73" s="69">
        <f t="shared" si="4"/>
        <v>64</v>
      </c>
      <c r="B73" s="57" t="str">
        <f>IF('Setup &amp; Summary'!$N$14&gt;A73,B72+1,"")</f>
        <v/>
      </c>
      <c r="C73" s="71"/>
      <c r="D73" s="72"/>
      <c r="E73" s="72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68" t="str">
        <f>IF(B73="","",IF(B73='Setup &amp; Summary'!$N$14,J73-H73,I74-$N$5))</f>
        <v/>
      </c>
      <c r="J73" s="22" t="str">
        <f>IF(B73="","",IF(B73='Setup &amp; Summary'!$N$14,INDEX(E!J:J,MATCH(MAX(E!B:B)/2,E!B:B)),I73+H73))</f>
        <v/>
      </c>
      <c r="K73" s="23" t="str">
        <f t="shared" ref="K73:K108" si="5">IF(B73="","",J73*$N$7)</f>
        <v/>
      </c>
      <c r="M73" s="60" t="str">
        <f>IF(B73="","",IF(B73*2='Setup &amp; Summary'!$N$14,"midstation row!",""))</f>
        <v/>
      </c>
    </row>
    <row r="74" spans="1:13" x14ac:dyDescent="0.2">
      <c r="A74" s="69">
        <f t="shared" si="4"/>
        <v>65</v>
      </c>
      <c r="B74" s="57" t="str">
        <f>IF('Setup &amp; Summary'!$N$14&gt;A74,B73+1,"")</f>
        <v/>
      </c>
      <c r="C74" s="71"/>
      <c r="D74" s="72"/>
      <c r="E74" s="72"/>
      <c r="F74" s="25" t="str">
        <f t="shared" ref="F74:F108" si="6">IF(B74="","",AVERAGE(C74:E74))</f>
        <v/>
      </c>
      <c r="G74" s="21" t="str">
        <f t="shared" ref="G74:G108" si="7">IF(B74="","",F74-$F$9)</f>
        <v/>
      </c>
      <c r="H74" s="25" t="str">
        <f t="shared" ref="H74:H108" si="8">IF(B74="","",H73+G74)</f>
        <v/>
      </c>
      <c r="I74" s="68" t="str">
        <f>IF(B74="","",IF(B74='Setup &amp; Summary'!$N$14,J74-H74,I75-$N$5))</f>
        <v/>
      </c>
      <c r="J74" s="22" t="str">
        <f>IF(B74="","",IF(B74='Setup &amp; Summary'!$N$14,INDEX(E!J:J,MATCH(MAX(E!B:B)/2,E!B:B)),I74+H74))</f>
        <v/>
      </c>
      <c r="K74" s="23" t="str">
        <f t="shared" si="5"/>
        <v/>
      </c>
      <c r="M74" s="60" t="str">
        <f>IF(B74="","",IF(B74*2='Setup &amp; Summary'!$N$14,"midstation row!",""))</f>
        <v/>
      </c>
    </row>
    <row r="75" spans="1:13" x14ac:dyDescent="0.2">
      <c r="A75" s="69">
        <f t="shared" si="4"/>
        <v>66</v>
      </c>
      <c r="B75" s="57" t="str">
        <f>IF('Setup &amp; Summary'!$N$14&gt;A75,B74+1,"")</f>
        <v/>
      </c>
      <c r="C75" s="71"/>
      <c r="D75" s="72"/>
      <c r="E75" s="72"/>
      <c r="F75" s="25" t="str">
        <f t="shared" si="6"/>
        <v/>
      </c>
      <c r="G75" s="21" t="str">
        <f t="shared" si="7"/>
        <v/>
      </c>
      <c r="H75" s="25" t="str">
        <f t="shared" si="8"/>
        <v/>
      </c>
      <c r="I75" s="68" t="str">
        <f>IF(B75="","",IF(B75='Setup &amp; Summary'!$N$14,J75-H75,I76-$N$5))</f>
        <v/>
      </c>
      <c r="J75" s="22" t="str">
        <f>IF(B75="","",IF(B75='Setup &amp; Summary'!$N$14,INDEX(E!J:J,MATCH(MAX(E!B:B)/2,E!B:B)),I75+H75))</f>
        <v/>
      </c>
      <c r="K75" s="23" t="str">
        <f t="shared" si="5"/>
        <v/>
      </c>
      <c r="M75" s="60" t="str">
        <f>IF(B75="","",IF(B75*2='Setup &amp; Summary'!$N$14,"midstation row!",""))</f>
        <v/>
      </c>
    </row>
    <row r="76" spans="1:13" x14ac:dyDescent="0.2">
      <c r="A76" s="69">
        <f t="shared" ref="A76:A108" si="9">A75+1</f>
        <v>67</v>
      </c>
      <c r="B76" s="57" t="str">
        <f>IF('Setup &amp; Summary'!$N$14&gt;A76,B75+1,"")</f>
        <v/>
      </c>
      <c r="C76" s="71"/>
      <c r="D76" s="72"/>
      <c r="E76" s="72"/>
      <c r="F76" s="25" t="str">
        <f t="shared" si="6"/>
        <v/>
      </c>
      <c r="G76" s="21" t="str">
        <f t="shared" si="7"/>
        <v/>
      </c>
      <c r="H76" s="25" t="str">
        <f t="shared" si="8"/>
        <v/>
      </c>
      <c r="I76" s="68" t="str">
        <f>IF(B76="","",IF(B76='Setup &amp; Summary'!$N$14,J76-H76,I77-$N$5))</f>
        <v/>
      </c>
      <c r="J76" s="22" t="str">
        <f>IF(B76="","",IF(B76='Setup &amp; Summary'!$N$14,INDEX(E!J:J,MATCH(MAX(E!B:B)/2,E!B:B)),I76+H76))</f>
        <v/>
      </c>
      <c r="K76" s="23" t="str">
        <f t="shared" si="5"/>
        <v/>
      </c>
      <c r="M76" s="60" t="str">
        <f>IF(B76="","",IF(B76*2='Setup &amp; Summary'!$N$14,"midstation row!",""))</f>
        <v/>
      </c>
    </row>
    <row r="77" spans="1:13" x14ac:dyDescent="0.2">
      <c r="A77" s="69">
        <f t="shared" si="9"/>
        <v>68</v>
      </c>
      <c r="B77" s="57" t="str">
        <f>IF('Setup &amp; Summary'!$N$14&gt;A77,B76+1,"")</f>
        <v/>
      </c>
      <c r="C77" s="71"/>
      <c r="D77" s="72"/>
      <c r="E77" s="72"/>
      <c r="F77" s="25" t="str">
        <f t="shared" si="6"/>
        <v/>
      </c>
      <c r="G77" s="21" t="str">
        <f t="shared" si="7"/>
        <v/>
      </c>
      <c r="H77" s="25" t="str">
        <f t="shared" si="8"/>
        <v/>
      </c>
      <c r="I77" s="68" t="str">
        <f>IF(B77="","",IF(B77='Setup &amp; Summary'!$N$14,J77-H77,I78-$N$5))</f>
        <v/>
      </c>
      <c r="J77" s="22" t="str">
        <f>IF(B77="","",IF(B77='Setup &amp; Summary'!$N$14,INDEX(E!J:J,MATCH(MAX(E!B:B)/2,E!B:B)),I77+H77))</f>
        <v/>
      </c>
      <c r="K77" s="23" t="str">
        <f t="shared" si="5"/>
        <v/>
      </c>
      <c r="M77" s="60" t="str">
        <f>IF(B77="","",IF(B77*2='Setup &amp; Summary'!$N$14,"midstation row!",""))</f>
        <v/>
      </c>
    </row>
    <row r="78" spans="1:13" x14ac:dyDescent="0.2">
      <c r="A78" s="69">
        <f t="shared" si="9"/>
        <v>69</v>
      </c>
      <c r="B78" s="57" t="str">
        <f>IF('Setup &amp; Summary'!$N$14&gt;A78,B77+1,"")</f>
        <v/>
      </c>
      <c r="C78" s="71"/>
      <c r="D78" s="72"/>
      <c r="E78" s="72"/>
      <c r="F78" s="25" t="str">
        <f t="shared" si="6"/>
        <v/>
      </c>
      <c r="G78" s="21" t="str">
        <f t="shared" si="7"/>
        <v/>
      </c>
      <c r="H78" s="25" t="str">
        <f t="shared" si="8"/>
        <v/>
      </c>
      <c r="I78" s="68" t="str">
        <f>IF(B78="","",IF(B78='Setup &amp; Summary'!$N$14,J78-H78,I79-$N$5))</f>
        <v/>
      </c>
      <c r="J78" s="22" t="str">
        <f>IF(B78="","",IF(B78='Setup &amp; Summary'!$N$14,INDEX(E!J:J,MATCH(MAX(E!B:B)/2,E!B:B)),I78+H78))</f>
        <v/>
      </c>
      <c r="K78" s="23" t="str">
        <f t="shared" si="5"/>
        <v/>
      </c>
      <c r="M78" s="60" t="str">
        <f>IF(B78="","",IF(B78*2='Setup &amp; Summary'!$N$14,"midstation row!",""))</f>
        <v/>
      </c>
    </row>
    <row r="79" spans="1:13" x14ac:dyDescent="0.2">
      <c r="A79" s="69">
        <f t="shared" si="9"/>
        <v>70</v>
      </c>
      <c r="B79" s="57" t="str">
        <f>IF('Setup &amp; Summary'!$N$14&gt;A79,B78+1,"")</f>
        <v/>
      </c>
      <c r="C79" s="71"/>
      <c r="D79" s="72"/>
      <c r="E79" s="72"/>
      <c r="F79" s="25" t="str">
        <f t="shared" si="6"/>
        <v/>
      </c>
      <c r="G79" s="21" t="str">
        <f t="shared" si="7"/>
        <v/>
      </c>
      <c r="H79" s="25" t="str">
        <f t="shared" si="8"/>
        <v/>
      </c>
      <c r="I79" s="68" t="str">
        <f>IF(B79="","",IF(B79='Setup &amp; Summary'!$N$14,J79-H79,I80-$N$5))</f>
        <v/>
      </c>
      <c r="J79" s="22" t="str">
        <f>IF(B79="","",IF(B79='Setup &amp; Summary'!$N$14,INDEX(E!J:J,MATCH(MAX(E!B:B)/2,E!B:B)),I79+H79))</f>
        <v/>
      </c>
      <c r="K79" s="23" t="str">
        <f t="shared" si="5"/>
        <v/>
      </c>
      <c r="M79" s="60" t="str">
        <f>IF(B79="","",IF(B79*2='Setup &amp; Summary'!$N$14,"midstation row!",""))</f>
        <v/>
      </c>
    </row>
    <row r="80" spans="1:13" x14ac:dyDescent="0.2">
      <c r="A80" s="69">
        <f t="shared" si="9"/>
        <v>71</v>
      </c>
      <c r="B80" s="57" t="str">
        <f>IF('Setup &amp; Summary'!$N$14&gt;A80,B79+1,"")</f>
        <v/>
      </c>
      <c r="C80" s="71"/>
      <c r="D80" s="72"/>
      <c r="E80" s="72"/>
      <c r="F80" s="25" t="str">
        <f t="shared" si="6"/>
        <v/>
      </c>
      <c r="G80" s="21" t="str">
        <f t="shared" si="7"/>
        <v/>
      </c>
      <c r="H80" s="25" t="str">
        <f t="shared" si="8"/>
        <v/>
      </c>
      <c r="I80" s="68" t="str">
        <f>IF(B80="","",IF(B80='Setup &amp; Summary'!$N$14,J80-H80,I81-$N$5))</f>
        <v/>
      </c>
      <c r="J80" s="22" t="str">
        <f>IF(B80="","",IF(B80='Setup &amp; Summary'!$N$14,INDEX(E!J:J,MATCH(MAX(E!B:B)/2,E!B:B)),I80+H80))</f>
        <v/>
      </c>
      <c r="K80" s="23" t="str">
        <f t="shared" si="5"/>
        <v/>
      </c>
      <c r="M80" s="60" t="str">
        <f>IF(B80="","",IF(B80*2='Setup &amp; Summary'!$N$14,"midstation row!",""))</f>
        <v/>
      </c>
    </row>
    <row r="81" spans="1:13" x14ac:dyDescent="0.2">
      <c r="A81" s="69">
        <f t="shared" si="9"/>
        <v>72</v>
      </c>
      <c r="B81" s="57" t="str">
        <f>IF('Setup &amp; Summary'!$N$14&gt;A81,B80+1,"")</f>
        <v/>
      </c>
      <c r="C81" s="71"/>
      <c r="D81" s="72"/>
      <c r="E81" s="72"/>
      <c r="F81" s="25" t="str">
        <f t="shared" si="6"/>
        <v/>
      </c>
      <c r="G81" s="21" t="str">
        <f t="shared" si="7"/>
        <v/>
      </c>
      <c r="H81" s="25" t="str">
        <f t="shared" si="8"/>
        <v/>
      </c>
      <c r="I81" s="68" t="str">
        <f>IF(B81="","",IF(B81='Setup &amp; Summary'!$N$14,J81-H81,I82-$N$5))</f>
        <v/>
      </c>
      <c r="J81" s="22" t="str">
        <f>IF(B81="","",IF(B81='Setup &amp; Summary'!$N$14,INDEX(E!J:J,MATCH(MAX(E!B:B)/2,E!B:B)),I81+H81))</f>
        <v/>
      </c>
      <c r="K81" s="23" t="str">
        <f t="shared" si="5"/>
        <v/>
      </c>
      <c r="M81" s="60" t="str">
        <f>IF(B81="","",IF(B81*2='Setup &amp; Summary'!$N$14,"midstation row!",""))</f>
        <v/>
      </c>
    </row>
    <row r="82" spans="1:13" x14ac:dyDescent="0.2">
      <c r="A82" s="69">
        <f t="shared" si="9"/>
        <v>73</v>
      </c>
      <c r="B82" s="57" t="str">
        <f>IF('Setup &amp; Summary'!$N$14&gt;A82,B81+1,"")</f>
        <v/>
      </c>
      <c r="C82" s="71"/>
      <c r="D82" s="72"/>
      <c r="E82" s="72"/>
      <c r="F82" s="25" t="str">
        <f t="shared" si="6"/>
        <v/>
      </c>
      <c r="G82" s="21" t="str">
        <f t="shared" si="7"/>
        <v/>
      </c>
      <c r="H82" s="25" t="str">
        <f t="shared" si="8"/>
        <v/>
      </c>
      <c r="I82" s="68" t="str">
        <f>IF(B82="","",IF(B82='Setup &amp; Summary'!$N$14,J82-H82,I83-$N$5))</f>
        <v/>
      </c>
      <c r="J82" s="22" t="str">
        <f>IF(B82="","",IF(B82='Setup &amp; Summary'!$N$14,INDEX(E!J:J,MATCH(MAX(E!B:B)/2,E!B:B)),I82+H82))</f>
        <v/>
      </c>
      <c r="K82" s="23" t="str">
        <f t="shared" si="5"/>
        <v/>
      </c>
      <c r="M82" s="60" t="str">
        <f>IF(B82="","",IF(B82*2='Setup &amp; Summary'!$N$14,"midstation row!",""))</f>
        <v/>
      </c>
    </row>
    <row r="83" spans="1:13" x14ac:dyDescent="0.2">
      <c r="A83" s="69">
        <f t="shared" si="9"/>
        <v>74</v>
      </c>
      <c r="B83" s="57" t="str">
        <f>IF('Setup &amp; Summary'!$N$14&gt;A83,B82+1,"")</f>
        <v/>
      </c>
      <c r="C83" s="71"/>
      <c r="D83" s="72"/>
      <c r="E83" s="72"/>
      <c r="F83" s="25" t="str">
        <f t="shared" si="6"/>
        <v/>
      </c>
      <c r="G83" s="21" t="str">
        <f t="shared" si="7"/>
        <v/>
      </c>
      <c r="H83" s="25" t="str">
        <f t="shared" si="8"/>
        <v/>
      </c>
      <c r="I83" s="68" t="str">
        <f>IF(B83="","",IF(B83='Setup &amp; Summary'!$N$14,J83-H83,I84-$N$5))</f>
        <v/>
      </c>
      <c r="J83" s="22" t="str">
        <f>IF(B83="","",IF(B83='Setup &amp; Summary'!$N$14,INDEX(E!J:J,MATCH(MAX(E!B:B)/2,E!B:B)),I83+H83))</f>
        <v/>
      </c>
      <c r="K83" s="23" t="str">
        <f t="shared" si="5"/>
        <v/>
      </c>
      <c r="M83" s="60" t="str">
        <f>IF(B83="","",IF(B83*2='Setup &amp; Summary'!$N$14,"midstation row!",""))</f>
        <v/>
      </c>
    </row>
    <row r="84" spans="1:13" x14ac:dyDescent="0.2">
      <c r="A84" s="69">
        <f t="shared" si="9"/>
        <v>75</v>
      </c>
      <c r="B84" s="57" t="str">
        <f>IF('Setup &amp; Summary'!$N$14&gt;A84,B83+1,"")</f>
        <v/>
      </c>
      <c r="C84" s="71"/>
      <c r="D84" s="72"/>
      <c r="E84" s="72"/>
      <c r="F84" s="25" t="str">
        <f t="shared" si="6"/>
        <v/>
      </c>
      <c r="G84" s="21" t="str">
        <f t="shared" si="7"/>
        <v/>
      </c>
      <c r="H84" s="25" t="str">
        <f t="shared" si="8"/>
        <v/>
      </c>
      <c r="I84" s="68" t="str">
        <f>IF(B84="","",IF(B84='Setup &amp; Summary'!$N$14,J84-H84,I85-$N$5))</f>
        <v/>
      </c>
      <c r="J84" s="22" t="str">
        <f>IF(B84="","",IF(B84='Setup &amp; Summary'!$N$14,INDEX(E!J:J,MATCH(MAX(E!B:B)/2,E!B:B)),I84+H84))</f>
        <v/>
      </c>
      <c r="K84" s="23" t="str">
        <f t="shared" si="5"/>
        <v/>
      </c>
      <c r="M84" s="60" t="str">
        <f>IF(B84="","",IF(B84*2='Setup &amp; Summary'!$N$14,"midstation row!",""))</f>
        <v/>
      </c>
    </row>
    <row r="85" spans="1:13" x14ac:dyDescent="0.2">
      <c r="A85" s="69">
        <f t="shared" si="9"/>
        <v>76</v>
      </c>
      <c r="B85" s="57" t="str">
        <f>IF('Setup &amp; Summary'!$N$14&gt;A85,B84+1,"")</f>
        <v/>
      </c>
      <c r="C85" s="71"/>
      <c r="D85" s="72"/>
      <c r="E85" s="72"/>
      <c r="F85" s="25" t="str">
        <f t="shared" si="6"/>
        <v/>
      </c>
      <c r="G85" s="21" t="str">
        <f t="shared" si="7"/>
        <v/>
      </c>
      <c r="H85" s="25" t="str">
        <f t="shared" si="8"/>
        <v/>
      </c>
      <c r="I85" s="68" t="str">
        <f>IF(B85="","",IF(B85='Setup &amp; Summary'!$N$14,J85-H85,I86-$N$5))</f>
        <v/>
      </c>
      <c r="J85" s="22" t="str">
        <f>IF(B85="","",IF(B85='Setup &amp; Summary'!$N$14,INDEX(E!J:J,MATCH(MAX(E!B:B)/2,E!B:B)),I85+H85))</f>
        <v/>
      </c>
      <c r="K85" s="23" t="str">
        <f t="shared" si="5"/>
        <v/>
      </c>
      <c r="M85" s="60" t="str">
        <f>IF(B85="","",IF(B85*2='Setup &amp; Summary'!$N$14,"midstation row!",""))</f>
        <v/>
      </c>
    </row>
    <row r="86" spans="1:13" x14ac:dyDescent="0.2">
      <c r="A86" s="69">
        <f t="shared" si="9"/>
        <v>77</v>
      </c>
      <c r="B86" s="57" t="str">
        <f>IF('Setup &amp; Summary'!$N$14&gt;A86,B85+1,"")</f>
        <v/>
      </c>
      <c r="C86" s="71"/>
      <c r="D86" s="72"/>
      <c r="E86" s="72"/>
      <c r="F86" s="25" t="str">
        <f t="shared" si="6"/>
        <v/>
      </c>
      <c r="G86" s="21" t="str">
        <f t="shared" si="7"/>
        <v/>
      </c>
      <c r="H86" s="25" t="str">
        <f t="shared" si="8"/>
        <v/>
      </c>
      <c r="I86" s="68" t="str">
        <f>IF(B86="","",IF(B86='Setup &amp; Summary'!$N$14,J86-H86,I87-$N$5))</f>
        <v/>
      </c>
      <c r="J86" s="22" t="str">
        <f>IF(B86="","",IF(B86='Setup &amp; Summary'!$N$14,INDEX(E!J:J,MATCH(MAX(E!B:B)/2,E!B:B)),I86+H86))</f>
        <v/>
      </c>
      <c r="K86" s="23" t="str">
        <f t="shared" si="5"/>
        <v/>
      </c>
      <c r="M86" s="60" t="str">
        <f>IF(B86="","",IF(B86*2='Setup &amp; Summary'!$N$14,"midstation row!",""))</f>
        <v/>
      </c>
    </row>
    <row r="87" spans="1:13" x14ac:dyDescent="0.2">
      <c r="A87" s="69">
        <f t="shared" si="9"/>
        <v>78</v>
      </c>
      <c r="B87" s="57" t="str">
        <f>IF('Setup &amp; Summary'!$N$14&gt;A87,B86+1,"")</f>
        <v/>
      </c>
      <c r="C87" s="71"/>
      <c r="D87" s="72"/>
      <c r="E87" s="72"/>
      <c r="F87" s="25" t="str">
        <f t="shared" si="6"/>
        <v/>
      </c>
      <c r="G87" s="21" t="str">
        <f t="shared" si="7"/>
        <v/>
      </c>
      <c r="H87" s="25" t="str">
        <f t="shared" si="8"/>
        <v/>
      </c>
      <c r="I87" s="68" t="str">
        <f>IF(B87="","",IF(B87='Setup &amp; Summary'!$N$14,J87-H87,I88-$N$5))</f>
        <v/>
      </c>
      <c r="J87" s="22" t="str">
        <f>IF(B87="","",IF(B87='Setup &amp; Summary'!$N$14,INDEX(E!J:J,MATCH(MAX(E!B:B)/2,E!B:B)),I87+H87))</f>
        <v/>
      </c>
      <c r="K87" s="23" t="str">
        <f t="shared" si="5"/>
        <v/>
      </c>
      <c r="M87" s="60" t="str">
        <f>IF(B87="","",IF(B87*2='Setup &amp; Summary'!$N$14,"midstation row!",""))</f>
        <v/>
      </c>
    </row>
    <row r="88" spans="1:13" x14ac:dyDescent="0.2">
      <c r="A88" s="69">
        <f t="shared" si="9"/>
        <v>79</v>
      </c>
      <c r="B88" s="57" t="str">
        <f>IF('Setup &amp; Summary'!$N$14&gt;A88,B87+1,"")</f>
        <v/>
      </c>
      <c r="C88" s="71"/>
      <c r="D88" s="72"/>
      <c r="E88" s="72"/>
      <c r="F88" s="25" t="str">
        <f t="shared" si="6"/>
        <v/>
      </c>
      <c r="G88" s="21" t="str">
        <f t="shared" si="7"/>
        <v/>
      </c>
      <c r="H88" s="25" t="str">
        <f t="shared" si="8"/>
        <v/>
      </c>
      <c r="I88" s="68" t="str">
        <f>IF(B88="","",IF(B88='Setup &amp; Summary'!$N$14,J88-H88,I89-$N$5))</f>
        <v/>
      </c>
      <c r="J88" s="22" t="str">
        <f>IF(B88="","",IF(B88='Setup &amp; Summary'!$N$14,INDEX(E!J:J,MATCH(MAX(E!B:B)/2,E!B:B)),I88+H88))</f>
        <v/>
      </c>
      <c r="K88" s="23" t="str">
        <f t="shared" si="5"/>
        <v/>
      </c>
      <c r="M88" s="60" t="str">
        <f>IF(B88="","",IF(B88*2='Setup &amp; Summary'!$N$14,"midstation row!",""))</f>
        <v/>
      </c>
    </row>
    <row r="89" spans="1:13" x14ac:dyDescent="0.2">
      <c r="A89" s="69">
        <f t="shared" si="9"/>
        <v>80</v>
      </c>
      <c r="B89" s="57" t="str">
        <f>IF('Setup &amp; Summary'!$N$14&gt;A89,B88+1,"")</f>
        <v/>
      </c>
      <c r="C89" s="71"/>
      <c r="D89" s="72"/>
      <c r="E89" s="72"/>
      <c r="F89" s="25" t="str">
        <f t="shared" si="6"/>
        <v/>
      </c>
      <c r="G89" s="21" t="str">
        <f t="shared" si="7"/>
        <v/>
      </c>
      <c r="H89" s="25" t="str">
        <f t="shared" si="8"/>
        <v/>
      </c>
      <c r="I89" s="68" t="str">
        <f>IF(B89="","",IF(B89='Setup &amp; Summary'!$N$14,J89-H89,I90-$N$5))</f>
        <v/>
      </c>
      <c r="J89" s="22" t="str">
        <f>IF(B89="","",IF(B89='Setup &amp; Summary'!$N$14,INDEX(E!J:J,MATCH(MAX(E!B:B)/2,E!B:B)),I89+H89))</f>
        <v/>
      </c>
      <c r="K89" s="23" t="str">
        <f t="shared" si="5"/>
        <v/>
      </c>
      <c r="M89" s="60" t="str">
        <f>IF(B89="","",IF(B89*2='Setup &amp; Summary'!$N$14,"midstation row!",""))</f>
        <v/>
      </c>
    </row>
    <row r="90" spans="1:13" x14ac:dyDescent="0.2">
      <c r="A90" s="69">
        <f t="shared" si="9"/>
        <v>81</v>
      </c>
      <c r="B90" s="57" t="str">
        <f>IF('Setup &amp; Summary'!$N$14&gt;A90,B89+1,"")</f>
        <v/>
      </c>
      <c r="C90" s="71"/>
      <c r="D90" s="72"/>
      <c r="E90" s="72"/>
      <c r="F90" s="25" t="str">
        <f t="shared" si="6"/>
        <v/>
      </c>
      <c r="G90" s="21" t="str">
        <f t="shared" si="7"/>
        <v/>
      </c>
      <c r="H90" s="25" t="str">
        <f t="shared" si="8"/>
        <v/>
      </c>
      <c r="I90" s="68" t="str">
        <f>IF(B90="","",IF(B90='Setup &amp; Summary'!$N$14,J90-H90,I91-$N$5))</f>
        <v/>
      </c>
      <c r="J90" s="22" t="str">
        <f>IF(B90="","",IF(B90='Setup &amp; Summary'!$N$14,INDEX(E!J:J,MATCH(MAX(E!B:B)/2,E!B:B)),I90+H90))</f>
        <v/>
      </c>
      <c r="K90" s="23" t="str">
        <f t="shared" si="5"/>
        <v/>
      </c>
      <c r="M90" s="60" t="str">
        <f>IF(B90="","",IF(B90*2='Setup &amp; Summary'!$N$14,"midstation row!",""))</f>
        <v/>
      </c>
    </row>
    <row r="91" spans="1:13" x14ac:dyDescent="0.2">
      <c r="A91" s="69">
        <f t="shared" si="9"/>
        <v>82</v>
      </c>
      <c r="B91" s="57" t="str">
        <f>IF('Setup &amp; Summary'!$N$14&gt;A91,B90+1,"")</f>
        <v/>
      </c>
      <c r="C91" s="71"/>
      <c r="D91" s="72"/>
      <c r="E91" s="72"/>
      <c r="F91" s="25" t="str">
        <f t="shared" si="6"/>
        <v/>
      </c>
      <c r="G91" s="21" t="str">
        <f t="shared" si="7"/>
        <v/>
      </c>
      <c r="H91" s="25" t="str">
        <f t="shared" si="8"/>
        <v/>
      </c>
      <c r="I91" s="68" t="str">
        <f>IF(B91="","",IF(B91='Setup &amp; Summary'!$N$14,J91-H91,I92-$N$5))</f>
        <v/>
      </c>
      <c r="J91" s="22" t="str">
        <f>IF(B91="","",IF(B91='Setup &amp; Summary'!$N$14,INDEX(E!J:J,MATCH(MAX(E!B:B)/2,E!B:B)),I91+H91))</f>
        <v/>
      </c>
      <c r="K91" s="23" t="str">
        <f t="shared" si="5"/>
        <v/>
      </c>
      <c r="M91" s="60" t="str">
        <f>IF(B91="","",IF(B91*2='Setup &amp; Summary'!$N$14,"midstation row!",""))</f>
        <v/>
      </c>
    </row>
    <row r="92" spans="1:13" x14ac:dyDescent="0.2">
      <c r="A92" s="69">
        <f t="shared" si="9"/>
        <v>83</v>
      </c>
      <c r="B92" s="57" t="str">
        <f>IF('Setup &amp; Summary'!$N$14&gt;A92,B91+1,"")</f>
        <v/>
      </c>
      <c r="C92" s="71"/>
      <c r="D92" s="72"/>
      <c r="E92" s="72"/>
      <c r="F92" s="25" t="str">
        <f t="shared" si="6"/>
        <v/>
      </c>
      <c r="G92" s="21" t="str">
        <f t="shared" si="7"/>
        <v/>
      </c>
      <c r="H92" s="25" t="str">
        <f t="shared" si="8"/>
        <v/>
      </c>
      <c r="I92" s="68" t="str">
        <f>IF(B92="","",IF(B92='Setup &amp; Summary'!$N$14,J92-H92,I93-$N$5))</f>
        <v/>
      </c>
      <c r="J92" s="22" t="str">
        <f>IF(B92="","",IF(B92='Setup &amp; Summary'!$N$14,INDEX(E!J:J,MATCH(MAX(E!B:B)/2,E!B:B)),I92+H92))</f>
        <v/>
      </c>
      <c r="K92" s="23" t="str">
        <f t="shared" si="5"/>
        <v/>
      </c>
      <c r="M92" s="60" t="str">
        <f>IF(B92="","",IF(B92*2='Setup &amp; Summary'!$N$14,"midstation row!",""))</f>
        <v/>
      </c>
    </row>
    <row r="93" spans="1:13" x14ac:dyDescent="0.2">
      <c r="A93" s="69">
        <f t="shared" si="9"/>
        <v>84</v>
      </c>
      <c r="B93" s="57" t="str">
        <f>IF('Setup &amp; Summary'!$N$14&gt;A93,B92+1,"")</f>
        <v/>
      </c>
      <c r="C93" s="71"/>
      <c r="D93" s="72"/>
      <c r="E93" s="72"/>
      <c r="F93" s="25" t="str">
        <f t="shared" si="6"/>
        <v/>
      </c>
      <c r="G93" s="21" t="str">
        <f t="shared" si="7"/>
        <v/>
      </c>
      <c r="H93" s="25" t="str">
        <f t="shared" si="8"/>
        <v/>
      </c>
      <c r="I93" s="68" t="str">
        <f>IF(B93="","",IF(B93='Setup &amp; Summary'!$N$14,J93-H93,I94-$N$5))</f>
        <v/>
      </c>
      <c r="J93" s="22" t="str">
        <f>IF(B93="","",IF(B93='Setup &amp; Summary'!$N$14,INDEX(E!J:J,MATCH(MAX(E!B:B)/2,E!B:B)),I93+H93))</f>
        <v/>
      </c>
      <c r="K93" s="23" t="str">
        <f t="shared" si="5"/>
        <v/>
      </c>
      <c r="M93" s="60" t="str">
        <f>IF(B93="","",IF(B93*2='Setup &amp; Summary'!$N$14,"midstation row!",""))</f>
        <v/>
      </c>
    </row>
    <row r="94" spans="1:13" x14ac:dyDescent="0.2">
      <c r="A94" s="69">
        <f t="shared" si="9"/>
        <v>85</v>
      </c>
      <c r="B94" s="57" t="str">
        <f>IF('Setup &amp; Summary'!$N$14&gt;A94,B93+1,"")</f>
        <v/>
      </c>
      <c r="C94" s="71"/>
      <c r="D94" s="72"/>
      <c r="E94" s="72"/>
      <c r="F94" s="25" t="str">
        <f t="shared" si="6"/>
        <v/>
      </c>
      <c r="G94" s="21" t="str">
        <f t="shared" si="7"/>
        <v/>
      </c>
      <c r="H94" s="25" t="str">
        <f t="shared" si="8"/>
        <v/>
      </c>
      <c r="I94" s="68" t="str">
        <f>IF(B94="","",IF(B94='Setup &amp; Summary'!$N$14,J94-H94,I95-$N$5))</f>
        <v/>
      </c>
      <c r="J94" s="22" t="str">
        <f>IF(B94="","",IF(B94='Setup &amp; Summary'!$N$14,INDEX(E!J:J,MATCH(MAX(E!B:B)/2,E!B:B)),I94+H94))</f>
        <v/>
      </c>
      <c r="K94" s="23" t="str">
        <f t="shared" si="5"/>
        <v/>
      </c>
      <c r="M94" s="60" t="str">
        <f>IF(B94="","",IF(B94*2='Setup &amp; Summary'!$N$14,"midstation row!",""))</f>
        <v/>
      </c>
    </row>
    <row r="95" spans="1:13" x14ac:dyDescent="0.2">
      <c r="A95" s="69">
        <f t="shared" si="9"/>
        <v>86</v>
      </c>
      <c r="B95" s="57" t="str">
        <f>IF('Setup &amp; Summary'!$N$14&gt;A95,B94+1,"")</f>
        <v/>
      </c>
      <c r="C95" s="71"/>
      <c r="D95" s="72"/>
      <c r="E95" s="72"/>
      <c r="F95" s="25" t="str">
        <f t="shared" si="6"/>
        <v/>
      </c>
      <c r="G95" s="21" t="str">
        <f t="shared" si="7"/>
        <v/>
      </c>
      <c r="H95" s="25" t="str">
        <f t="shared" si="8"/>
        <v/>
      </c>
      <c r="I95" s="68" t="str">
        <f>IF(B95="","",IF(B95='Setup &amp; Summary'!$N$14,J95-H95,I96-$N$5))</f>
        <v/>
      </c>
      <c r="J95" s="22" t="str">
        <f>IF(B95="","",IF(B95='Setup &amp; Summary'!$N$14,INDEX(E!J:J,MATCH(MAX(E!B:B)/2,E!B:B)),I95+H95))</f>
        <v/>
      </c>
      <c r="K95" s="23" t="str">
        <f t="shared" si="5"/>
        <v/>
      </c>
      <c r="M95" s="60" t="str">
        <f>IF(B95="","",IF(B95*2='Setup &amp; Summary'!$N$14,"midstation row!",""))</f>
        <v/>
      </c>
    </row>
    <row r="96" spans="1:13" x14ac:dyDescent="0.2">
      <c r="A96" s="69">
        <f t="shared" si="9"/>
        <v>87</v>
      </c>
      <c r="B96" s="57" t="str">
        <f>IF('Setup &amp; Summary'!$N$14&gt;A96,B95+1,"")</f>
        <v/>
      </c>
      <c r="C96" s="71"/>
      <c r="D96" s="72"/>
      <c r="E96" s="72"/>
      <c r="F96" s="25" t="str">
        <f t="shared" si="6"/>
        <v/>
      </c>
      <c r="G96" s="21" t="str">
        <f t="shared" si="7"/>
        <v/>
      </c>
      <c r="H96" s="25" t="str">
        <f t="shared" si="8"/>
        <v/>
      </c>
      <c r="I96" s="68" t="str">
        <f>IF(B96="","",IF(B96='Setup &amp; Summary'!$N$14,J96-H96,I97-$N$5))</f>
        <v/>
      </c>
      <c r="J96" s="22" t="str">
        <f>IF(B96="","",IF(B96='Setup &amp; Summary'!$N$14,INDEX(E!J:J,MATCH(MAX(E!B:B)/2,E!B:B)),I96+H96))</f>
        <v/>
      </c>
      <c r="K96" s="23" t="str">
        <f t="shared" si="5"/>
        <v/>
      </c>
      <c r="M96" s="60" t="str">
        <f>IF(B96="","",IF(B96*2='Setup &amp; Summary'!$N$14,"midstation row!",""))</f>
        <v/>
      </c>
    </row>
    <row r="97" spans="1:13" x14ac:dyDescent="0.2">
      <c r="A97" s="69">
        <f t="shared" si="9"/>
        <v>88</v>
      </c>
      <c r="B97" s="57" t="str">
        <f>IF('Setup &amp; Summary'!$N$14&gt;A97,B96+1,"")</f>
        <v/>
      </c>
      <c r="C97" s="71"/>
      <c r="D97" s="72"/>
      <c r="E97" s="72"/>
      <c r="F97" s="25" t="str">
        <f t="shared" si="6"/>
        <v/>
      </c>
      <c r="G97" s="21" t="str">
        <f t="shared" si="7"/>
        <v/>
      </c>
      <c r="H97" s="25" t="str">
        <f t="shared" si="8"/>
        <v/>
      </c>
      <c r="I97" s="68" t="str">
        <f>IF(B97="","",IF(B97='Setup &amp; Summary'!$N$14,J97-H97,I98-$N$5))</f>
        <v/>
      </c>
      <c r="J97" s="22" t="str">
        <f>IF(B97="","",IF(B97='Setup &amp; Summary'!$N$14,INDEX(E!J:J,MATCH(MAX(E!B:B)/2,E!B:B)),I97+H97))</f>
        <v/>
      </c>
      <c r="K97" s="23" t="str">
        <f t="shared" si="5"/>
        <v/>
      </c>
      <c r="M97" s="60" t="str">
        <f>IF(B97="","",IF(B97*2='Setup &amp; Summary'!$N$14,"midstation row!",""))</f>
        <v/>
      </c>
    </row>
    <row r="98" spans="1:13" x14ac:dyDescent="0.2">
      <c r="A98" s="69">
        <f t="shared" si="9"/>
        <v>89</v>
      </c>
      <c r="B98" s="57" t="str">
        <f>IF('Setup &amp; Summary'!$N$14&gt;A98,B97+1,"")</f>
        <v/>
      </c>
      <c r="C98" s="71"/>
      <c r="D98" s="72"/>
      <c r="E98" s="72"/>
      <c r="F98" s="25" t="str">
        <f t="shared" si="6"/>
        <v/>
      </c>
      <c r="G98" s="21" t="str">
        <f t="shared" si="7"/>
        <v/>
      </c>
      <c r="H98" s="25" t="str">
        <f t="shared" si="8"/>
        <v/>
      </c>
      <c r="I98" s="68" t="str">
        <f>IF(B98="","",IF(B98='Setup &amp; Summary'!$N$14,J98-H98,I99-$N$5))</f>
        <v/>
      </c>
      <c r="J98" s="22" t="str">
        <f>IF(B98="","",IF(B98='Setup &amp; Summary'!$N$14,INDEX(E!J:J,MATCH(MAX(E!B:B)/2,E!B:B)),I98+H98))</f>
        <v/>
      </c>
      <c r="K98" s="23" t="str">
        <f t="shared" si="5"/>
        <v/>
      </c>
      <c r="M98" s="60" t="str">
        <f>IF(B98="","",IF(B98*2='Setup &amp; Summary'!$N$14,"midstation row!",""))</f>
        <v/>
      </c>
    </row>
    <row r="99" spans="1:13" x14ac:dyDescent="0.2">
      <c r="A99" s="69">
        <f t="shared" si="9"/>
        <v>90</v>
      </c>
      <c r="B99" s="57" t="str">
        <f>IF('Setup &amp; Summary'!$N$14&gt;A99,B98+1,"")</f>
        <v/>
      </c>
      <c r="C99" s="71"/>
      <c r="D99" s="72"/>
      <c r="E99" s="72"/>
      <c r="F99" s="25" t="str">
        <f t="shared" si="6"/>
        <v/>
      </c>
      <c r="G99" s="21" t="str">
        <f t="shared" si="7"/>
        <v/>
      </c>
      <c r="H99" s="25" t="str">
        <f t="shared" si="8"/>
        <v/>
      </c>
      <c r="I99" s="68" t="str">
        <f>IF(B99="","",IF(B99='Setup &amp; Summary'!$N$14,J99-H99,I100-$N$5))</f>
        <v/>
      </c>
      <c r="J99" s="22" t="str">
        <f>IF(B99="","",IF(B99='Setup &amp; Summary'!$N$14,INDEX(E!J:J,MATCH(MAX(E!B:B)/2,E!B:B)),I99+H99))</f>
        <v/>
      </c>
      <c r="K99" s="23" t="str">
        <f t="shared" si="5"/>
        <v/>
      </c>
      <c r="M99" s="60" t="str">
        <f>IF(B99="","",IF(B99*2='Setup &amp; Summary'!$N$14,"midstation row!",""))</f>
        <v/>
      </c>
    </row>
    <row r="100" spans="1:13" x14ac:dyDescent="0.2">
      <c r="A100" s="69">
        <f t="shared" si="9"/>
        <v>91</v>
      </c>
      <c r="B100" s="57" t="str">
        <f>IF('Setup &amp; Summary'!$N$14&gt;A100,B99+1,"")</f>
        <v/>
      </c>
      <c r="C100" s="71"/>
      <c r="D100" s="72"/>
      <c r="E100" s="72"/>
      <c r="F100" s="25" t="str">
        <f t="shared" si="6"/>
        <v/>
      </c>
      <c r="G100" s="21" t="str">
        <f t="shared" si="7"/>
        <v/>
      </c>
      <c r="H100" s="25" t="str">
        <f t="shared" si="8"/>
        <v/>
      </c>
      <c r="I100" s="68" t="str">
        <f>IF(B100="","",IF(B100='Setup &amp; Summary'!$N$14,J100-H100,I101-$N$5))</f>
        <v/>
      </c>
      <c r="J100" s="22" t="str">
        <f>IF(B100="","",IF(B100='Setup &amp; Summary'!$N$14,INDEX(E!J:J,MATCH(MAX(E!B:B)/2,E!B:B)),I100+H100))</f>
        <v/>
      </c>
      <c r="K100" s="23" t="str">
        <f t="shared" si="5"/>
        <v/>
      </c>
      <c r="M100" s="60" t="str">
        <f>IF(B100="","",IF(B100*2='Setup &amp; Summary'!$N$14,"midstation row!",""))</f>
        <v/>
      </c>
    </row>
    <row r="101" spans="1:13" x14ac:dyDescent="0.2">
      <c r="A101" s="69">
        <f t="shared" si="9"/>
        <v>92</v>
      </c>
      <c r="B101" s="57" t="str">
        <f>IF('Setup &amp; Summary'!$N$14&gt;A101,B100+1,"")</f>
        <v/>
      </c>
      <c r="C101" s="71"/>
      <c r="D101" s="72"/>
      <c r="E101" s="72"/>
      <c r="F101" s="25" t="str">
        <f t="shared" si="6"/>
        <v/>
      </c>
      <c r="G101" s="21" t="str">
        <f t="shared" si="7"/>
        <v/>
      </c>
      <c r="H101" s="25" t="str">
        <f t="shared" si="8"/>
        <v/>
      </c>
      <c r="I101" s="68" t="str">
        <f>IF(B101="","",IF(B101='Setup &amp; Summary'!$N$14,J101-H101,I102-$N$5))</f>
        <v/>
      </c>
      <c r="J101" s="22" t="str">
        <f>IF(B101="","",IF(B101='Setup &amp; Summary'!$N$14,INDEX(E!J:J,MATCH(MAX(E!B:B)/2,E!B:B)),I101+H101))</f>
        <v/>
      </c>
      <c r="K101" s="23" t="str">
        <f t="shared" si="5"/>
        <v/>
      </c>
      <c r="M101" s="60" t="str">
        <f>IF(B101="","",IF(B101*2='Setup &amp; Summary'!$N$14,"midstation row!",""))</f>
        <v/>
      </c>
    </row>
    <row r="102" spans="1:13" x14ac:dyDescent="0.2">
      <c r="A102" s="69">
        <f t="shared" si="9"/>
        <v>93</v>
      </c>
      <c r="B102" s="57" t="str">
        <f>IF('Setup &amp; Summary'!$N$14&gt;A102,B101+1,"")</f>
        <v/>
      </c>
      <c r="C102" s="71"/>
      <c r="D102" s="72"/>
      <c r="E102" s="72"/>
      <c r="F102" s="25" t="str">
        <f t="shared" si="6"/>
        <v/>
      </c>
      <c r="G102" s="21" t="str">
        <f t="shared" si="7"/>
        <v/>
      </c>
      <c r="H102" s="25" t="str">
        <f t="shared" si="8"/>
        <v/>
      </c>
      <c r="I102" s="68" t="str">
        <f>IF(B102="","",IF(B102='Setup &amp; Summary'!$N$14,J102-H102,I103-$N$5))</f>
        <v/>
      </c>
      <c r="J102" s="22" t="str">
        <f>IF(B102="","",IF(B102='Setup &amp; Summary'!$N$14,INDEX(E!J:J,MATCH(MAX(E!B:B)/2,E!B:B)),I102+H102))</f>
        <v/>
      </c>
      <c r="K102" s="23" t="str">
        <f t="shared" si="5"/>
        <v/>
      </c>
      <c r="M102" s="60" t="str">
        <f>IF(B102="","",IF(B102*2='Setup &amp; Summary'!$N$14,"midstation row!",""))</f>
        <v/>
      </c>
    </row>
    <row r="103" spans="1:13" x14ac:dyDescent="0.2">
      <c r="A103" s="69">
        <f t="shared" si="9"/>
        <v>94</v>
      </c>
      <c r="B103" s="57" t="str">
        <f>IF('Setup &amp; Summary'!$N$14&gt;A103,B102+1,"")</f>
        <v/>
      </c>
      <c r="C103" s="71"/>
      <c r="D103" s="72"/>
      <c r="E103" s="72"/>
      <c r="F103" s="25" t="str">
        <f t="shared" si="6"/>
        <v/>
      </c>
      <c r="G103" s="21" t="str">
        <f t="shared" si="7"/>
        <v/>
      </c>
      <c r="H103" s="25" t="str">
        <f t="shared" si="8"/>
        <v/>
      </c>
      <c r="I103" s="68" t="str">
        <f>IF(B103="","",IF(B103='Setup &amp; Summary'!$N$14,J103-H103,I104-$N$5))</f>
        <v/>
      </c>
      <c r="J103" s="22" t="str">
        <f>IF(B103="","",IF(B103='Setup &amp; Summary'!$N$14,INDEX(E!J:J,MATCH(MAX(E!B:B)/2,E!B:B)),I103+H103))</f>
        <v/>
      </c>
      <c r="K103" s="23" t="str">
        <f t="shared" si="5"/>
        <v/>
      </c>
      <c r="M103" s="60" t="str">
        <f>IF(B103="","",IF(B103*2='Setup &amp; Summary'!$N$14,"midstation row!",""))</f>
        <v/>
      </c>
    </row>
    <row r="104" spans="1:13" x14ac:dyDescent="0.2">
      <c r="A104" s="69">
        <f t="shared" si="9"/>
        <v>95</v>
      </c>
      <c r="B104" s="57" t="str">
        <f>IF('Setup &amp; Summary'!$N$14&gt;A104,B103+1,"")</f>
        <v/>
      </c>
      <c r="C104" s="71"/>
      <c r="D104" s="72"/>
      <c r="E104" s="72"/>
      <c r="F104" s="25" t="str">
        <f t="shared" si="6"/>
        <v/>
      </c>
      <c r="G104" s="21" t="str">
        <f t="shared" si="7"/>
        <v/>
      </c>
      <c r="H104" s="25" t="str">
        <f t="shared" si="8"/>
        <v/>
      </c>
      <c r="I104" s="68" t="str">
        <f>IF(B104="","",IF(B104='Setup &amp; Summary'!$N$14,J104-H104,I105-$N$5))</f>
        <v/>
      </c>
      <c r="J104" s="22" t="str">
        <f>IF(B104="","",IF(B104='Setup &amp; Summary'!$N$14,INDEX(E!J:J,MATCH(MAX(E!B:B)/2,E!B:B)),I104+H104))</f>
        <v/>
      </c>
      <c r="K104" s="23" t="str">
        <f t="shared" si="5"/>
        <v/>
      </c>
      <c r="M104" s="60" t="str">
        <f>IF(B104="","",IF(B104*2='Setup &amp; Summary'!$N$14,"midstation row!",""))</f>
        <v/>
      </c>
    </row>
    <row r="105" spans="1:13" x14ac:dyDescent="0.2">
      <c r="A105" s="69">
        <f t="shared" si="9"/>
        <v>96</v>
      </c>
      <c r="B105" s="57" t="str">
        <f>IF('Setup &amp; Summary'!$N$14&gt;A105,B104+1,"")</f>
        <v/>
      </c>
      <c r="C105" s="71"/>
      <c r="D105" s="72"/>
      <c r="E105" s="72"/>
      <c r="F105" s="25" t="str">
        <f t="shared" si="6"/>
        <v/>
      </c>
      <c r="G105" s="21" t="str">
        <f t="shared" si="7"/>
        <v/>
      </c>
      <c r="H105" s="25" t="str">
        <f t="shared" si="8"/>
        <v/>
      </c>
      <c r="I105" s="68" t="str">
        <f>IF(B105="","",IF(B105='Setup &amp; Summary'!$N$14,J105-H105,I106-$N$5))</f>
        <v/>
      </c>
      <c r="J105" s="22" t="str">
        <f>IF(B105="","",IF(B105='Setup &amp; Summary'!$N$14,INDEX(E!J:J,MATCH(MAX(E!B:B)/2,E!B:B)),I105+H105))</f>
        <v/>
      </c>
      <c r="K105" s="23" t="str">
        <f t="shared" si="5"/>
        <v/>
      </c>
      <c r="M105" s="60" t="str">
        <f>IF(B105="","",IF(B105*2='Setup &amp; Summary'!$N$14,"midstation row!",""))</f>
        <v/>
      </c>
    </row>
    <row r="106" spans="1:13" x14ac:dyDescent="0.2">
      <c r="A106" s="69">
        <f t="shared" si="9"/>
        <v>97</v>
      </c>
      <c r="B106" s="57" t="str">
        <f>IF('Setup &amp; Summary'!$N$14&gt;A106,B105+1,"")</f>
        <v/>
      </c>
      <c r="C106" s="71"/>
      <c r="D106" s="72"/>
      <c r="E106" s="72"/>
      <c r="F106" s="25" t="str">
        <f t="shared" si="6"/>
        <v/>
      </c>
      <c r="G106" s="21" t="str">
        <f t="shared" si="7"/>
        <v/>
      </c>
      <c r="H106" s="25" t="str">
        <f t="shared" si="8"/>
        <v/>
      </c>
      <c r="I106" s="68" t="str">
        <f>IF(B106="","",IF(B106='Setup &amp; Summary'!$N$14,J106-H106,I107-$N$5))</f>
        <v/>
      </c>
      <c r="J106" s="22" t="str">
        <f>IF(B106="","",IF(B106='Setup &amp; Summary'!$N$14,INDEX(E!J:J,MATCH(MAX(E!B:B)/2,E!B:B)),I106+H106))</f>
        <v/>
      </c>
      <c r="K106" s="23" t="str">
        <f t="shared" si="5"/>
        <v/>
      </c>
      <c r="M106" s="60" t="str">
        <f>IF(B106="","",IF(B106*2='Setup &amp; Summary'!$N$14,"midstation row!",""))</f>
        <v/>
      </c>
    </row>
    <row r="107" spans="1:13" x14ac:dyDescent="0.2">
      <c r="A107" s="69">
        <f t="shared" si="9"/>
        <v>98</v>
      </c>
      <c r="B107" s="57" t="str">
        <f>IF('Setup &amp; Summary'!$N$14&gt;A107,B106+1,"")</f>
        <v/>
      </c>
      <c r="C107" s="71"/>
      <c r="D107" s="72"/>
      <c r="E107" s="72"/>
      <c r="F107" s="25" t="str">
        <f t="shared" si="6"/>
        <v/>
      </c>
      <c r="G107" s="21" t="str">
        <f t="shared" si="7"/>
        <v/>
      </c>
      <c r="H107" s="25" t="str">
        <f t="shared" si="8"/>
        <v/>
      </c>
      <c r="I107" s="68" t="str">
        <f>IF(B107="","",IF(B107='Setup &amp; Summary'!$N$14,J107-H107,I108-$N$5))</f>
        <v/>
      </c>
      <c r="J107" s="22" t="str">
        <f>IF(B107="","",IF(B107='Setup &amp; Summary'!$N$14,INDEX(E!J:J,MATCH(MAX(E!B:B)/2,E!B:B)),I107+H107))</f>
        <v/>
      </c>
      <c r="K107" s="23" t="str">
        <f t="shared" si="5"/>
        <v/>
      </c>
      <c r="M107" s="60" t="str">
        <f>IF(B107="","",IF(B107*2='Setup &amp; Summary'!$N$14,"midstation row!",""))</f>
        <v/>
      </c>
    </row>
    <row r="108" spans="1:13" x14ac:dyDescent="0.2">
      <c r="A108" s="69">
        <f t="shared" si="9"/>
        <v>99</v>
      </c>
      <c r="B108" s="57" t="str">
        <f>IF('Setup &amp; Summary'!$N$14&gt;A108,B107+1,"")</f>
        <v/>
      </c>
      <c r="C108" s="71"/>
      <c r="D108" s="72"/>
      <c r="E108" s="72"/>
      <c r="F108" s="25" t="str">
        <f t="shared" si="6"/>
        <v/>
      </c>
      <c r="G108" s="21" t="str">
        <f t="shared" si="7"/>
        <v/>
      </c>
      <c r="H108" s="25" t="str">
        <f t="shared" si="8"/>
        <v/>
      </c>
      <c r="I108" s="68" t="str">
        <f>IF(B108="","",IF(B108='Setup &amp; Summary'!$N$14,J108-H108,I109-$N$5))</f>
        <v/>
      </c>
      <c r="J108" s="22" t="str">
        <f>IF(B108="","",IF(B108='Setup &amp; Summary'!$N$14,INDEX(E!J:J,MATCH(MAX(E!B:B)/2,E!B:B)),I108+H108))</f>
        <v/>
      </c>
      <c r="K108" s="23" t="str">
        <f t="shared" si="5"/>
        <v/>
      </c>
      <c r="M108" s="60" t="str">
        <f>IF(B108="","",IF(B108*2='Setup &amp; Summary'!$N$14,"midstation row!",""))</f>
        <v/>
      </c>
    </row>
  </sheetData>
  <sheetProtection sheet="1" objects="1" scenarios="1" selectLockedCells="1"/>
  <phoneticPr fontId="0" type="noConversion"/>
  <conditionalFormatting sqref="I10:I108">
    <cfRule type="expression" dxfId="3" priority="1">
      <formula>$M10="Midstation Row!"</formula>
    </cfRule>
  </conditionalFormatting>
  <conditionalFormatting sqref="M10:M108">
    <cfRule type="cellIs" dxfId="15" priority="7" operator="equal">
      <formula>""</formula>
    </cfRule>
    <cfRule type="cellIs" dxfId="14" priority="8" operator="equal">
      <formula>"Midstation Row!"</formula>
    </cfRule>
  </conditionalFormatting>
  <conditionalFormatting sqref="L32:M108 J1:K3 B10:B108 F10:I108 L10:M28 M14:M108">
    <cfRule type="cellIs" dxfId="2" priority="6" operator="equal">
      <formula>""</formula>
    </cfRule>
  </conditionalFormatting>
  <conditionalFormatting sqref="J10:K109">
    <cfRule type="cellIs" dxfId="0" priority="5" operator="equal">
      <formula>""</formula>
    </cfRule>
  </conditionalFormatting>
  <conditionalFormatting sqref="C9:E9">
    <cfRule type="expression" dxfId="13" priority="4">
      <formula>$B9=""</formula>
    </cfRule>
  </conditionalFormatting>
  <conditionalFormatting sqref="C10:E108">
    <cfRule type="expression" dxfId="12" priority="3">
      <formula>$B10=""</formula>
    </cfRule>
  </conditionalFormatting>
  <conditionalFormatting sqref="I10">
    <cfRule type="expression" dxfId="1" priority="2">
      <formula>$M10="Midstation Row!"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8"/>
  <sheetViews>
    <sheetView zoomScale="70" zoomScaleNormal="70" workbookViewId="0">
      <selection activeCell="C9" sqref="C9"/>
    </sheetView>
  </sheetViews>
  <sheetFormatPr defaultRowHeight="12.75" x14ac:dyDescent="0.2"/>
  <cols>
    <col min="1" max="1" width="3.42578125" style="70" customWidth="1"/>
    <col min="13" max="13" width="23.42578125" customWidth="1"/>
    <col min="14" max="14" width="7.5703125" customWidth="1"/>
  </cols>
  <sheetData>
    <row r="1" spans="1:14" x14ac:dyDescent="0.2">
      <c r="A1" s="69"/>
      <c r="B1" s="28"/>
      <c r="C1" s="28"/>
      <c r="D1" s="28"/>
      <c r="E1" s="28"/>
      <c r="F1" s="28"/>
      <c r="G1" s="28"/>
      <c r="H1" s="28"/>
      <c r="I1" s="28"/>
      <c r="J1" s="31">
        <f>MIN(K:K)</f>
        <v>-71.083333333333172</v>
      </c>
      <c r="K1" t="s">
        <v>4</v>
      </c>
      <c r="M1" s="28"/>
      <c r="N1" s="28"/>
    </row>
    <row r="2" spans="1:14" ht="18" x14ac:dyDescent="0.25">
      <c r="A2" s="69"/>
      <c r="B2" s="1" t="str">
        <f>'Setup &amp; Summary'!P10&amp;"""x"&amp;'Setup &amp; Summary'!P11&amp;""" Plate, "&amp;'Setup &amp; Summary'!N16&amp;""" Foot Pad Distance"</f>
        <v>36"x48" Plate, 2" Foot Pad Distance</v>
      </c>
      <c r="G2" s="2" t="s">
        <v>46</v>
      </c>
      <c r="J2" s="31">
        <f>MAX(K:K)</f>
        <v>71.083333333333528</v>
      </c>
      <c r="K2" t="s">
        <v>5</v>
      </c>
    </row>
    <row r="3" spans="1:14" x14ac:dyDescent="0.2">
      <c r="A3" s="69"/>
      <c r="J3" s="31">
        <f>ABS(J1-J2)</f>
        <v>142.16666666666669</v>
      </c>
      <c r="K3" t="s">
        <v>6</v>
      </c>
    </row>
    <row r="4" spans="1:14" ht="13.5" thickBot="1" x14ac:dyDescent="0.25">
      <c r="A4" s="69"/>
    </row>
    <row r="5" spans="1:14" ht="13.5" thickTop="1" x14ac:dyDescent="0.2">
      <c r="A5" s="69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61" t="s">
        <v>0</v>
      </c>
      <c r="L5" s="66"/>
      <c r="M5" s="6" t="s">
        <v>1</v>
      </c>
      <c r="N5" s="7">
        <f>(INDEX(I:I,MATCH(MAX(B:B),B:B))-I8)/MAX(B:B)</f>
        <v>1.2462121212121213</v>
      </c>
    </row>
    <row r="6" spans="1:14" ht="13.5" thickBot="1" x14ac:dyDescent="0.25">
      <c r="A6" s="69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62">
        <v>9</v>
      </c>
      <c r="L6" s="66"/>
      <c r="M6" s="11" t="s">
        <v>2</v>
      </c>
      <c r="N6" s="12">
        <f>'Setup &amp; Summary'!$N$16</f>
        <v>2</v>
      </c>
    </row>
    <row r="7" spans="1:14" ht="13.5" thickTop="1" x14ac:dyDescent="0.2">
      <c r="A7" s="69"/>
      <c r="B7" s="13"/>
      <c r="C7" s="14"/>
      <c r="D7" s="15"/>
      <c r="E7" s="15"/>
      <c r="F7" s="15"/>
      <c r="G7" s="15"/>
      <c r="H7" s="15"/>
      <c r="I7" s="15"/>
      <c r="J7" s="15"/>
      <c r="K7" s="63"/>
      <c r="L7" s="67"/>
      <c r="M7" s="6" t="s">
        <v>3</v>
      </c>
      <c r="N7" s="16">
        <f>N6*5</f>
        <v>10</v>
      </c>
    </row>
    <row r="8" spans="1:14" x14ac:dyDescent="0.2">
      <c r="A8" s="69"/>
      <c r="B8" s="57" t="s">
        <v>68</v>
      </c>
      <c r="C8" s="17"/>
      <c r="D8" s="18"/>
      <c r="E8" s="18"/>
      <c r="F8" s="19"/>
      <c r="G8" s="19"/>
      <c r="H8" s="20">
        <v>0</v>
      </c>
      <c r="I8" s="25">
        <f>INDEX(D!J:J,MATCH(MAX(D!B:B)/2,D!B:B))</f>
        <v>-7.1083333333333165</v>
      </c>
      <c r="J8" s="22">
        <f>IF(B8="","",I8+H8)</f>
        <v>-7.1083333333333165</v>
      </c>
      <c r="K8" s="64">
        <f>IF(B8="","",J8*$N$7)</f>
        <v>-71.083333333333172</v>
      </c>
      <c r="L8" s="67"/>
      <c r="N8" s="24"/>
    </row>
    <row r="9" spans="1:14" x14ac:dyDescent="0.2">
      <c r="A9" s="69"/>
      <c r="B9" s="38">
        <v>1</v>
      </c>
      <c r="C9" s="71">
        <v>8.6</v>
      </c>
      <c r="D9" s="72">
        <v>8.5</v>
      </c>
      <c r="E9" s="72">
        <v>8.4</v>
      </c>
      <c r="F9" s="25">
        <f>AVERAGE(C9:E9)</f>
        <v>8.5</v>
      </c>
      <c r="G9" s="21">
        <f>F9-$F$9</f>
        <v>0</v>
      </c>
      <c r="H9" s="21">
        <f>H8+G9</f>
        <v>0</v>
      </c>
      <c r="I9" s="25">
        <f>I10-$N$5</f>
        <v>-5.8621212121211927</v>
      </c>
      <c r="J9" s="22">
        <f>IF(B9="","",I9+H9)</f>
        <v>-5.8621212121211927</v>
      </c>
      <c r="K9" s="64">
        <f t="shared" ref="K9:K72" si="0">IF(B9="","",J9*$N$7)</f>
        <v>-58.621212121211926</v>
      </c>
      <c r="L9" s="67"/>
    </row>
    <row r="10" spans="1:14" x14ac:dyDescent="0.2">
      <c r="A10" s="69">
        <v>1</v>
      </c>
      <c r="B10" s="57">
        <f>IF('Setup &amp; Summary'!$N$15&gt;A10,A!B9+1,"")</f>
        <v>2</v>
      </c>
      <c r="C10" s="71">
        <v>8.6</v>
      </c>
      <c r="D10" s="72">
        <v>8.5</v>
      </c>
      <c r="E10" s="72">
        <v>8.5</v>
      </c>
      <c r="F10" s="25">
        <f t="shared" ref="F10:F73" si="1">IF(B10="","",AVERAGE(C10:E10))</f>
        <v>8.5333333333333332</v>
      </c>
      <c r="G10" s="21">
        <f t="shared" ref="G10:G73" si="2">IF(B10="","",F10-$F$9)</f>
        <v>3.3333333333333215E-2</v>
      </c>
      <c r="H10" s="25">
        <f t="shared" ref="H10:H73" si="3">IF(B10="","",H9+G10)</f>
        <v>3.3333333333333215E-2</v>
      </c>
      <c r="I10" s="68">
        <f>IF(B10="","",IF(B10='Setup &amp; Summary'!$N$15,J10-H10,I11-$N$5))</f>
        <v>-4.6159090909090716</v>
      </c>
      <c r="J10" s="22">
        <f>IF(B10="","",IF(B10='Setup &amp; Summary'!$N$15,INDEX(F!J:J,MATCH(MAX(F!B:B)/2,F!B:B)),I10+H10))</f>
        <v>-4.5825757575757384</v>
      </c>
      <c r="K10" s="23">
        <f t="shared" si="0"/>
        <v>-45.825757575757386</v>
      </c>
      <c r="L10" s="65"/>
      <c r="M10" s="60" t="str">
        <f>IF(B10="","",IF(B10*2='Setup &amp; Summary'!$N$15,"midstation row!",""))</f>
        <v/>
      </c>
    </row>
    <row r="11" spans="1:14" x14ac:dyDescent="0.2">
      <c r="A11" s="69">
        <f>A10+1</f>
        <v>2</v>
      </c>
      <c r="B11" s="57">
        <f>IF('Setup &amp; Summary'!$N$15&gt;A11,A!B10+1,"")</f>
        <v>3</v>
      </c>
      <c r="C11" s="71">
        <v>7.9</v>
      </c>
      <c r="D11" s="72">
        <v>8</v>
      </c>
      <c r="E11" s="72">
        <v>8.1999999999999993</v>
      </c>
      <c r="F11" s="25">
        <f t="shared" si="1"/>
        <v>8.0333333333333332</v>
      </c>
      <c r="G11" s="21">
        <f t="shared" si="2"/>
        <v>-0.46666666666666679</v>
      </c>
      <c r="H11" s="25">
        <f t="shared" si="3"/>
        <v>-0.43333333333333357</v>
      </c>
      <c r="I11" s="68">
        <f>IF(B11="","",IF(B11='Setup &amp; Summary'!$N$15,J11-H11,I12-$N$5))</f>
        <v>-3.3696969696969505</v>
      </c>
      <c r="J11" s="22">
        <f>IF(B11="","",IF(B11='Setup &amp; Summary'!$N$15,INDEX(F!J:J,MATCH(MAX(F!B:B)/2,F!B:B)),I11+H11))</f>
        <v>-3.8030303030302841</v>
      </c>
      <c r="K11" s="23">
        <f t="shared" si="0"/>
        <v>-38.030303030302839</v>
      </c>
      <c r="L11" s="59"/>
      <c r="M11" s="60" t="str">
        <f>IF(B11="","",IF(B11*2='Setup &amp; Summary'!$N$15,"midstation row!",""))</f>
        <v/>
      </c>
    </row>
    <row r="12" spans="1:14" x14ac:dyDescent="0.2">
      <c r="A12" s="69">
        <f t="shared" ref="A12:A75" si="4">A11+1</f>
        <v>3</v>
      </c>
      <c r="B12" s="57">
        <f>IF('Setup &amp; Summary'!$N$15&gt;A12,A!B11+1,"")</f>
        <v>4</v>
      </c>
      <c r="C12" s="71">
        <v>7.6</v>
      </c>
      <c r="D12" s="72">
        <v>7.8</v>
      </c>
      <c r="E12" s="72">
        <v>8</v>
      </c>
      <c r="F12" s="25">
        <f t="shared" si="1"/>
        <v>7.8</v>
      </c>
      <c r="G12" s="21">
        <f t="shared" si="2"/>
        <v>-0.70000000000000018</v>
      </c>
      <c r="H12" s="25">
        <f t="shared" si="3"/>
        <v>-1.1333333333333337</v>
      </c>
      <c r="I12" s="68">
        <f>IF(B12="","",IF(B12='Setup &amp; Summary'!$N$15,J12-H12,I13-$N$5))</f>
        <v>-2.1234848484848294</v>
      </c>
      <c r="J12" s="22">
        <f>IF(B12="","",IF(B12='Setup &amp; Summary'!$N$15,INDEX(F!J:J,MATCH(MAX(F!B:B)/2,F!B:B)),I12+H12))</f>
        <v>-3.2568181818181632</v>
      </c>
      <c r="K12" s="23">
        <f t="shared" si="0"/>
        <v>-32.568181818181628</v>
      </c>
      <c r="L12" s="59"/>
      <c r="M12" s="60" t="str">
        <f>IF(B12="","",IF(B12*2='Setup &amp; Summary'!$N$15,"midstation row!",""))</f>
        <v/>
      </c>
    </row>
    <row r="13" spans="1:14" x14ac:dyDescent="0.2">
      <c r="A13" s="69">
        <f t="shared" si="4"/>
        <v>4</v>
      </c>
      <c r="B13" s="57">
        <f>IF('Setup &amp; Summary'!$N$15&gt;A13,A!B12+1,"")</f>
        <v>5</v>
      </c>
      <c r="C13" s="71">
        <v>8.6</v>
      </c>
      <c r="D13" s="72">
        <v>8.3000000000000007</v>
      </c>
      <c r="E13" s="72">
        <v>8.5</v>
      </c>
      <c r="F13" s="25">
        <f t="shared" si="1"/>
        <v>8.4666666666666668</v>
      </c>
      <c r="G13" s="21">
        <f t="shared" si="2"/>
        <v>-3.3333333333333215E-2</v>
      </c>
      <c r="H13" s="25">
        <f t="shared" si="3"/>
        <v>-1.166666666666667</v>
      </c>
      <c r="I13" s="68">
        <f>IF(B13="","",IF(B13='Setup &amp; Summary'!$N$15,J13-H13,I14-$N$5))</f>
        <v>-0.87727272727270811</v>
      </c>
      <c r="J13" s="22">
        <f>IF(B13="","",IF(B13='Setup &amp; Summary'!$N$15,INDEX(F!J:J,MATCH(MAX(F!B:B)/2,F!B:B)),I13+H13))</f>
        <v>-2.0439393939393753</v>
      </c>
      <c r="K13" s="23">
        <f t="shared" si="0"/>
        <v>-20.439393939393753</v>
      </c>
      <c r="L13" s="59"/>
      <c r="M13" s="60" t="str">
        <f>IF(B13="","",IF(B13*2='Setup &amp; Summary'!$N$15,"midstation row!",""))</f>
        <v/>
      </c>
    </row>
    <row r="14" spans="1:14" x14ac:dyDescent="0.2">
      <c r="A14" s="69">
        <f t="shared" si="4"/>
        <v>5</v>
      </c>
      <c r="B14" s="57">
        <f>IF('Setup &amp; Summary'!$N$15&gt;A14,A!B13+1,"")</f>
        <v>6</v>
      </c>
      <c r="C14" s="71">
        <v>7.5</v>
      </c>
      <c r="D14" s="72">
        <v>7.3</v>
      </c>
      <c r="E14" s="72">
        <v>7.2</v>
      </c>
      <c r="F14" s="25">
        <f t="shared" si="1"/>
        <v>7.333333333333333</v>
      </c>
      <c r="G14" s="21">
        <f t="shared" si="2"/>
        <v>-1.166666666666667</v>
      </c>
      <c r="H14" s="25">
        <f t="shared" si="3"/>
        <v>-2.3333333333333339</v>
      </c>
      <c r="I14" s="68">
        <f>IF(B14="","",IF(B14='Setup &amp; Summary'!$N$15,J14-H14,I15-$N$5))</f>
        <v>0.36893939393941322</v>
      </c>
      <c r="J14" s="22">
        <f>IF(B14="","",IF(B14='Setup &amp; Summary'!$N$15,INDEX(F!J:J,MATCH(MAX(F!B:B)/2,F!B:B)),I14+H14))</f>
        <v>-1.9643939393939207</v>
      </c>
      <c r="K14" s="23">
        <f t="shared" si="0"/>
        <v>-19.643939393939206</v>
      </c>
      <c r="L14" s="59"/>
      <c r="M14" s="60" t="str">
        <f>IF(B14="","",IF(B14*2='Setup &amp; Summary'!$N$15,"midstation row!",""))</f>
        <v/>
      </c>
    </row>
    <row r="15" spans="1:14" x14ac:dyDescent="0.2">
      <c r="A15" s="69">
        <f t="shared" si="4"/>
        <v>6</v>
      </c>
      <c r="B15" s="57">
        <f>IF('Setup &amp; Summary'!$N$15&gt;A15,A!B14+1,"")</f>
        <v>7</v>
      </c>
      <c r="C15" s="71">
        <v>8.3000000000000007</v>
      </c>
      <c r="D15" s="72">
        <v>8</v>
      </c>
      <c r="E15" s="72">
        <v>8.1999999999999993</v>
      </c>
      <c r="F15" s="25">
        <f t="shared" si="1"/>
        <v>8.1666666666666661</v>
      </c>
      <c r="G15" s="21">
        <f t="shared" si="2"/>
        <v>-0.33333333333333393</v>
      </c>
      <c r="H15" s="25">
        <f t="shared" si="3"/>
        <v>-2.6666666666666679</v>
      </c>
      <c r="I15" s="68">
        <f>IF(B15="","",IF(B15='Setup &amp; Summary'!$N$15,J15-H15,I16-$N$5))</f>
        <v>1.6151515151515345</v>
      </c>
      <c r="J15" s="22">
        <f>IF(B15="","",IF(B15='Setup &amp; Summary'!$N$15,INDEX(F!J:J,MATCH(MAX(F!B:B)/2,F!B:B)),I15+H15))</f>
        <v>-1.0515151515151333</v>
      </c>
      <c r="K15" s="23">
        <f t="shared" si="0"/>
        <v>-10.515151515151333</v>
      </c>
      <c r="L15" s="59"/>
      <c r="M15" s="60" t="str">
        <f>IF(B15="","",IF(B15*2='Setup &amp; Summary'!$N$15,"midstation row!",""))</f>
        <v/>
      </c>
    </row>
    <row r="16" spans="1:14" x14ac:dyDescent="0.2">
      <c r="A16" s="69">
        <f t="shared" si="4"/>
        <v>7</v>
      </c>
      <c r="B16" s="57">
        <f>IF('Setup &amp; Summary'!$N$15&gt;A16,A!B15+1,"")</f>
        <v>8</v>
      </c>
      <c r="C16" s="71">
        <v>9.4</v>
      </c>
      <c r="D16" s="72">
        <v>9.1999999999999993</v>
      </c>
      <c r="E16" s="72">
        <v>9.1</v>
      </c>
      <c r="F16" s="25">
        <f t="shared" si="1"/>
        <v>9.2333333333333343</v>
      </c>
      <c r="G16" s="21">
        <f t="shared" si="2"/>
        <v>0.73333333333333428</v>
      </c>
      <c r="H16" s="25">
        <f t="shared" si="3"/>
        <v>-1.9333333333333336</v>
      </c>
      <c r="I16" s="68">
        <f>IF(B16="","",IF(B16='Setup &amp; Summary'!$N$15,J16-H16,I17-$N$5))</f>
        <v>2.8613636363636559</v>
      </c>
      <c r="J16" s="22">
        <f>IF(B16="","",IF(B16='Setup &amp; Summary'!$N$15,INDEX(F!J:J,MATCH(MAX(F!B:B)/2,F!B:B)),I16+H16))</f>
        <v>0.9280303030303223</v>
      </c>
      <c r="K16" s="23">
        <f t="shared" si="0"/>
        <v>9.280303030303223</v>
      </c>
      <c r="L16" s="59"/>
      <c r="M16" s="60" t="str">
        <f>IF(B16="","",IF(B16*2='Setup &amp; Summary'!$N$15,"midstation row!",""))</f>
        <v/>
      </c>
    </row>
    <row r="17" spans="1:14" x14ac:dyDescent="0.2">
      <c r="A17" s="69">
        <f t="shared" si="4"/>
        <v>8</v>
      </c>
      <c r="B17" s="57">
        <f>IF('Setup &amp; Summary'!$N$15&gt;A17,A!B16+1,"")</f>
        <v>9</v>
      </c>
      <c r="C17" s="71">
        <v>7</v>
      </c>
      <c r="D17" s="72">
        <v>7.2</v>
      </c>
      <c r="E17" s="72">
        <v>7.5</v>
      </c>
      <c r="F17" s="25">
        <f t="shared" si="1"/>
        <v>7.2333333333333334</v>
      </c>
      <c r="G17" s="21">
        <f t="shared" si="2"/>
        <v>-1.2666666666666666</v>
      </c>
      <c r="H17" s="25">
        <f t="shared" si="3"/>
        <v>-3.2</v>
      </c>
      <c r="I17" s="68">
        <f>IF(B17="","",IF(B17='Setup &amp; Summary'!$N$15,J17-H17,I18-$N$5))</f>
        <v>4.107575757575777</v>
      </c>
      <c r="J17" s="22">
        <f>IF(B17="","",IF(B17='Setup &amp; Summary'!$N$15,INDEX(F!J:J,MATCH(MAX(F!B:B)/2,F!B:B)),I17+H17))</f>
        <v>0.9075757575757768</v>
      </c>
      <c r="K17" s="23">
        <f t="shared" si="0"/>
        <v>9.075757575757768</v>
      </c>
      <c r="L17" s="59"/>
      <c r="M17" s="60" t="str">
        <f>IF(B17="","",IF(B17*2='Setup &amp; Summary'!$N$15,"midstation row!",""))</f>
        <v/>
      </c>
      <c r="N17" s="58"/>
    </row>
    <row r="18" spans="1:14" x14ac:dyDescent="0.2">
      <c r="A18" s="69">
        <f t="shared" si="4"/>
        <v>9</v>
      </c>
      <c r="B18" s="57">
        <f>IF('Setup &amp; Summary'!$N$15&gt;A18,A!B17+1,"")</f>
        <v>10</v>
      </c>
      <c r="C18" s="71">
        <v>8.3000000000000007</v>
      </c>
      <c r="D18" s="72">
        <v>8</v>
      </c>
      <c r="E18" s="72">
        <v>8.1999999999999993</v>
      </c>
      <c r="F18" s="25">
        <f t="shared" si="1"/>
        <v>8.1666666666666661</v>
      </c>
      <c r="G18" s="21">
        <f t="shared" si="2"/>
        <v>-0.33333333333333393</v>
      </c>
      <c r="H18" s="25">
        <f t="shared" si="3"/>
        <v>-3.5333333333333341</v>
      </c>
      <c r="I18" s="68">
        <f>IF(B18="","",IF(B18='Setup &amp; Summary'!$N$15,J18-H18,I19-$N$5))</f>
        <v>5.3537878787878981</v>
      </c>
      <c r="J18" s="22">
        <f>IF(B18="","",IF(B18='Setup &amp; Summary'!$N$15,INDEX(F!J:J,MATCH(MAX(F!B:B)/2,F!B:B)),I18+H18))</f>
        <v>1.820454545454564</v>
      </c>
      <c r="K18" s="23">
        <f t="shared" si="0"/>
        <v>18.204545454545638</v>
      </c>
      <c r="L18" s="59"/>
      <c r="M18" s="60" t="str">
        <f>IF(B18="","",IF(B18*2='Setup &amp; Summary'!$N$15,"midstation row!",""))</f>
        <v/>
      </c>
    </row>
    <row r="19" spans="1:14" x14ac:dyDescent="0.2">
      <c r="A19" s="69">
        <f t="shared" si="4"/>
        <v>10</v>
      </c>
      <c r="B19" s="57">
        <f>IF('Setup &amp; Summary'!$N$15&gt;A19,A!B18+1,"")</f>
        <v>11</v>
      </c>
      <c r="C19" s="71">
        <v>8.9</v>
      </c>
      <c r="D19" s="72">
        <v>9</v>
      </c>
      <c r="E19" s="72">
        <v>8.8000000000000007</v>
      </c>
      <c r="F19" s="25">
        <f t="shared" si="1"/>
        <v>8.9</v>
      </c>
      <c r="G19" s="21">
        <f t="shared" si="2"/>
        <v>0.40000000000000036</v>
      </c>
      <c r="H19" s="25">
        <f t="shared" si="3"/>
        <v>-3.1333333333333337</v>
      </c>
      <c r="I19" s="68">
        <f>IF(B19="","",IF(B19='Setup &amp; Summary'!$N$15,J19-H19,I20-$N$5))</f>
        <v>6.6000000000000192</v>
      </c>
      <c r="J19" s="22">
        <f>IF(B19="","",IF(B19='Setup &amp; Summary'!$N$15,INDEX(F!J:J,MATCH(MAX(F!B:B)/2,F!B:B)),I19+H19))</f>
        <v>3.4666666666666854</v>
      </c>
      <c r="K19" s="23">
        <f t="shared" si="0"/>
        <v>34.666666666666856</v>
      </c>
      <c r="L19" s="59"/>
      <c r="M19" s="60" t="str">
        <f>IF(B19="","",IF(B19*2='Setup &amp; Summary'!$N$15,"midstation row!",""))</f>
        <v>midstation row!</v>
      </c>
    </row>
    <row r="20" spans="1:14" x14ac:dyDescent="0.2">
      <c r="A20" s="69">
        <f t="shared" si="4"/>
        <v>11</v>
      </c>
      <c r="B20" s="57">
        <f>IF('Setup &amp; Summary'!$N$15&gt;A20,A!B19+1,"")</f>
        <v>12</v>
      </c>
      <c r="C20" s="71">
        <v>7.2</v>
      </c>
      <c r="D20" s="72">
        <v>7.5</v>
      </c>
      <c r="E20" s="72">
        <v>7.5</v>
      </c>
      <c r="F20" s="25">
        <f t="shared" si="1"/>
        <v>7.3999999999999995</v>
      </c>
      <c r="G20" s="21">
        <f t="shared" si="2"/>
        <v>-1.1000000000000005</v>
      </c>
      <c r="H20" s="25">
        <f t="shared" si="3"/>
        <v>-4.2333333333333343</v>
      </c>
      <c r="I20" s="68">
        <f>IF(B20="","",IF(B20='Setup &amp; Summary'!$N$15,J20-H20,I21-$N$5))</f>
        <v>7.8462121212121403</v>
      </c>
      <c r="J20" s="22">
        <f>IF(B20="","",IF(B20='Setup &amp; Summary'!$N$15,INDEX(F!J:J,MATCH(MAX(F!B:B)/2,F!B:B)),I20+H20))</f>
        <v>3.612878787878806</v>
      </c>
      <c r="K20" s="23">
        <f t="shared" si="0"/>
        <v>36.12878787878806</v>
      </c>
      <c r="L20" s="59"/>
      <c r="M20" s="60" t="str">
        <f>IF(B20="","",IF(B20*2='Setup &amp; Summary'!$N$15,"midstation row!",""))</f>
        <v/>
      </c>
    </row>
    <row r="21" spans="1:14" x14ac:dyDescent="0.2">
      <c r="A21" s="69">
        <f t="shared" si="4"/>
        <v>12</v>
      </c>
      <c r="B21" s="57">
        <f>IF('Setup &amp; Summary'!$N$15&gt;A21,A!B20+1,"")</f>
        <v>13</v>
      </c>
      <c r="C21" s="71">
        <v>7.7</v>
      </c>
      <c r="D21" s="72">
        <v>7.5</v>
      </c>
      <c r="E21" s="72">
        <v>7.4</v>
      </c>
      <c r="F21" s="25">
        <f t="shared" si="1"/>
        <v>7.5333333333333341</v>
      </c>
      <c r="G21" s="21">
        <f t="shared" si="2"/>
        <v>-0.9666666666666659</v>
      </c>
      <c r="H21" s="25">
        <f t="shared" si="3"/>
        <v>-5.2</v>
      </c>
      <c r="I21" s="68">
        <f>IF(B21="","",IF(B21='Setup &amp; Summary'!$N$15,J21-H21,I22-$N$5))</f>
        <v>9.0924242424242614</v>
      </c>
      <c r="J21" s="22">
        <f>IF(B21="","",IF(B21='Setup &amp; Summary'!$N$15,INDEX(F!J:J,MATCH(MAX(F!B:B)/2,F!B:B)),I21+H21))</f>
        <v>3.8924242424242612</v>
      </c>
      <c r="K21" s="23">
        <f t="shared" si="0"/>
        <v>38.924242424242614</v>
      </c>
      <c r="L21" s="59"/>
      <c r="M21" s="60" t="str">
        <f>IF(B21="","",IF(B21*2='Setup &amp; Summary'!$N$15,"midstation row!",""))</f>
        <v/>
      </c>
    </row>
    <row r="22" spans="1:14" x14ac:dyDescent="0.2">
      <c r="A22" s="69">
        <f t="shared" si="4"/>
        <v>13</v>
      </c>
      <c r="B22" s="57">
        <f>IF('Setup &amp; Summary'!$N$15&gt;A22,A!B21+1,"")</f>
        <v>14</v>
      </c>
      <c r="C22" s="71">
        <v>7.9</v>
      </c>
      <c r="D22" s="72">
        <v>8</v>
      </c>
      <c r="E22" s="72">
        <v>8.1999999999999993</v>
      </c>
      <c r="F22" s="25">
        <f t="shared" si="1"/>
        <v>8.0333333333333332</v>
      </c>
      <c r="G22" s="21">
        <f t="shared" si="2"/>
        <v>-0.46666666666666679</v>
      </c>
      <c r="H22" s="25">
        <f t="shared" si="3"/>
        <v>-5.666666666666667</v>
      </c>
      <c r="I22" s="68">
        <f>IF(B22="","",IF(B22='Setup &amp; Summary'!$N$15,J22-H22,I23-$N$5))</f>
        <v>10.338636363636382</v>
      </c>
      <c r="J22" s="22">
        <f>IF(B22="","",IF(B22='Setup &amp; Summary'!$N$15,INDEX(F!J:J,MATCH(MAX(F!B:B)/2,F!B:B)),I22+H22))</f>
        <v>4.6719696969697155</v>
      </c>
      <c r="K22" s="23">
        <f t="shared" si="0"/>
        <v>46.719696969697154</v>
      </c>
      <c r="L22" s="59"/>
      <c r="M22" s="60" t="str">
        <f>IF(B22="","",IF(B22*2='Setup &amp; Summary'!$N$15,"midstation row!",""))</f>
        <v/>
      </c>
    </row>
    <row r="23" spans="1:14" x14ac:dyDescent="0.2">
      <c r="A23" s="69">
        <f t="shared" si="4"/>
        <v>14</v>
      </c>
      <c r="B23" s="57">
        <f>IF('Setup &amp; Summary'!$N$15&gt;A23,A!B22+1,"")</f>
        <v>15</v>
      </c>
      <c r="C23" s="71">
        <v>8.4</v>
      </c>
      <c r="D23" s="72">
        <v>8.1999999999999993</v>
      </c>
      <c r="E23" s="72">
        <v>8</v>
      </c>
      <c r="F23" s="25">
        <f t="shared" si="1"/>
        <v>8.2000000000000011</v>
      </c>
      <c r="G23" s="21">
        <f t="shared" si="2"/>
        <v>-0.29999999999999893</v>
      </c>
      <c r="H23" s="25">
        <f t="shared" si="3"/>
        <v>-5.9666666666666659</v>
      </c>
      <c r="I23" s="68">
        <f>IF(B23="","",IF(B23='Setup &amp; Summary'!$N$15,J23-H23,I24-$N$5))</f>
        <v>11.584848484848504</v>
      </c>
      <c r="J23" s="22">
        <f>IF(B23="","",IF(B23='Setup &amp; Summary'!$N$15,INDEX(F!J:J,MATCH(MAX(F!B:B)/2,F!B:B)),I23+H23))</f>
        <v>5.6181818181818377</v>
      </c>
      <c r="K23" s="23">
        <f t="shared" si="0"/>
        <v>56.181818181818379</v>
      </c>
      <c r="L23" s="59"/>
      <c r="M23" s="60" t="str">
        <f>IF(B23="","",IF(B23*2='Setup &amp; Summary'!$N$15,"midstation row!",""))</f>
        <v/>
      </c>
    </row>
    <row r="24" spans="1:14" x14ac:dyDescent="0.2">
      <c r="A24" s="69">
        <f t="shared" si="4"/>
        <v>15</v>
      </c>
      <c r="B24" s="57">
        <f>IF('Setup &amp; Summary'!$N$15&gt;A24,A!B23+1,"")</f>
        <v>16</v>
      </c>
      <c r="C24" s="71">
        <v>7.6</v>
      </c>
      <c r="D24" s="72">
        <v>7.5</v>
      </c>
      <c r="E24" s="72">
        <v>7.4</v>
      </c>
      <c r="F24" s="25">
        <f t="shared" si="1"/>
        <v>7.5</v>
      </c>
      <c r="G24" s="21">
        <f t="shared" si="2"/>
        <v>-1</v>
      </c>
      <c r="H24" s="25">
        <f t="shared" si="3"/>
        <v>-6.9666666666666659</v>
      </c>
      <c r="I24" s="68">
        <f>IF(B24="","",IF(B24='Setup &amp; Summary'!$N$15,J24-H24,I25-$N$5))</f>
        <v>12.831060606060625</v>
      </c>
      <c r="J24" s="22">
        <f>IF(B24="","",IF(B24='Setup &amp; Summary'!$N$15,INDEX(F!J:J,MATCH(MAX(F!B:B)/2,F!B:B)),I24+H24))</f>
        <v>5.8643939393939588</v>
      </c>
      <c r="K24" s="23">
        <f t="shared" si="0"/>
        <v>58.64393939393959</v>
      </c>
      <c r="L24" s="59"/>
      <c r="M24" s="60" t="str">
        <f>IF(B24="","",IF(B24*2='Setup &amp; Summary'!$N$15,"midstation row!",""))</f>
        <v/>
      </c>
    </row>
    <row r="25" spans="1:14" x14ac:dyDescent="0.2">
      <c r="A25" s="69">
        <f t="shared" si="4"/>
        <v>16</v>
      </c>
      <c r="B25" s="57">
        <f>IF('Setup &amp; Summary'!$N$15&gt;A25,A!B24+1,"")</f>
        <v>17</v>
      </c>
      <c r="C25" s="71">
        <v>6.8</v>
      </c>
      <c r="D25" s="72">
        <v>7</v>
      </c>
      <c r="E25" s="72">
        <v>7.1</v>
      </c>
      <c r="F25" s="25">
        <f t="shared" si="1"/>
        <v>6.9666666666666659</v>
      </c>
      <c r="G25" s="21">
        <f t="shared" si="2"/>
        <v>-1.5333333333333341</v>
      </c>
      <c r="H25" s="25">
        <f t="shared" si="3"/>
        <v>-8.5</v>
      </c>
      <c r="I25" s="68">
        <f>IF(B25="","",IF(B25='Setup &amp; Summary'!$N$15,J25-H25,I26-$N$5))</f>
        <v>14.077272727272746</v>
      </c>
      <c r="J25" s="22">
        <f>IF(B25="","",IF(B25='Setup &amp; Summary'!$N$15,INDEX(F!J:J,MATCH(MAX(F!B:B)/2,F!B:B)),I25+H25))</f>
        <v>5.5772727272727458</v>
      </c>
      <c r="K25" s="23">
        <f t="shared" si="0"/>
        <v>55.772727272727458</v>
      </c>
      <c r="L25" s="59"/>
      <c r="M25" s="60" t="str">
        <f>IF(B25="","",IF(B25*2='Setup &amp; Summary'!$N$15,"midstation row!",""))</f>
        <v/>
      </c>
    </row>
    <row r="26" spans="1:14" x14ac:dyDescent="0.2">
      <c r="A26" s="69">
        <f t="shared" si="4"/>
        <v>17</v>
      </c>
      <c r="B26" s="57">
        <f>IF('Setup &amp; Summary'!$N$15&gt;A26,A!B25+1,"")</f>
        <v>18</v>
      </c>
      <c r="C26" s="71">
        <v>7.6</v>
      </c>
      <c r="D26" s="72">
        <v>7.4</v>
      </c>
      <c r="E26" s="72">
        <v>7.6</v>
      </c>
      <c r="F26" s="25">
        <f t="shared" si="1"/>
        <v>7.5333333333333341</v>
      </c>
      <c r="G26" s="21">
        <f t="shared" si="2"/>
        <v>-0.9666666666666659</v>
      </c>
      <c r="H26" s="25">
        <f t="shared" si="3"/>
        <v>-9.466666666666665</v>
      </c>
      <c r="I26" s="68">
        <f>IF(B26="","",IF(B26='Setup &amp; Summary'!$N$15,J26-H26,I27-$N$5))</f>
        <v>15.323484848484867</v>
      </c>
      <c r="J26" s="22">
        <f>IF(B26="","",IF(B26='Setup &amp; Summary'!$N$15,INDEX(F!J:J,MATCH(MAX(F!B:B)/2,F!B:B)),I26+H26))</f>
        <v>5.8568181818182019</v>
      </c>
      <c r="K26" s="23">
        <f>IF(B26="","",J26*$N$7)</f>
        <v>58.568181818182019</v>
      </c>
      <c r="L26" s="59"/>
      <c r="M26" s="60" t="str">
        <f>IF(B26="","",IF(B26*2='Setup &amp; Summary'!$N$15,"midstation row!",""))</f>
        <v/>
      </c>
    </row>
    <row r="27" spans="1:14" x14ac:dyDescent="0.2">
      <c r="A27" s="69">
        <f t="shared" si="4"/>
        <v>18</v>
      </c>
      <c r="B27" s="57">
        <f>IF('Setup &amp; Summary'!$N$15&gt;A27,A!B26+1,"")</f>
        <v>19</v>
      </c>
      <c r="C27" s="71">
        <v>6.8</v>
      </c>
      <c r="D27" s="72">
        <v>6.5</v>
      </c>
      <c r="E27" s="72">
        <v>6.2</v>
      </c>
      <c r="F27" s="25">
        <f t="shared" si="1"/>
        <v>6.5</v>
      </c>
      <c r="G27" s="21">
        <f t="shared" si="2"/>
        <v>-2</v>
      </c>
      <c r="H27" s="25">
        <f t="shared" si="3"/>
        <v>-11.466666666666665</v>
      </c>
      <c r="I27" s="68">
        <f>IF(B27="","",IF(B27='Setup &amp; Summary'!$N$15,J27-H27,I28-$N$5))</f>
        <v>16.569696969696988</v>
      </c>
      <c r="J27" s="22">
        <f>IF(B27="","",IF(B27='Setup &amp; Summary'!$N$15,INDEX(F!J:J,MATCH(MAX(F!B:B)/2,F!B:B)),I27+H27))</f>
        <v>5.103030303030323</v>
      </c>
      <c r="K27" s="23">
        <f t="shared" si="0"/>
        <v>51.03030303030323</v>
      </c>
      <c r="M27" s="60" t="str">
        <f>IF(B27="","",IF(B27*2='Setup &amp; Summary'!$N$15,"midstation row!",""))</f>
        <v/>
      </c>
    </row>
    <row r="28" spans="1:14" x14ac:dyDescent="0.2">
      <c r="A28" s="69">
        <f t="shared" si="4"/>
        <v>19</v>
      </c>
      <c r="B28" s="57">
        <f>IF('Setup &amp; Summary'!$N$15&gt;A28,A!B27+1,"")</f>
        <v>20</v>
      </c>
      <c r="C28" s="71">
        <v>8</v>
      </c>
      <c r="D28" s="72">
        <v>8.1999999999999993</v>
      </c>
      <c r="E28" s="72">
        <v>8.1</v>
      </c>
      <c r="F28" s="25">
        <f>IF(B28="","",AVERAGE(C28:E28))</f>
        <v>8.1</v>
      </c>
      <c r="G28" s="21">
        <f>IF(B28="","",F28-$F$9)</f>
        <v>-0.40000000000000036</v>
      </c>
      <c r="H28" s="25">
        <f>IF(B28="","",H27+G28)</f>
        <v>-11.866666666666665</v>
      </c>
      <c r="I28" s="68">
        <f>IF(B28="","",IF(B28='Setup &amp; Summary'!$N$15,J28-H28,I29-$N$5))</f>
        <v>17.815909090909109</v>
      </c>
      <c r="J28" s="22">
        <f>IF(B28="","",IF(B28='Setup &amp; Summary'!$N$15,INDEX(F!J:J,MATCH(MAX(F!B:B)/2,F!B:B)),I28+H28))</f>
        <v>5.9492424242424438</v>
      </c>
      <c r="K28" s="23">
        <f t="shared" si="0"/>
        <v>59.492424242424434</v>
      </c>
      <c r="M28" s="60" t="str">
        <f>IF(B28="","",IF(B28*2='Setup &amp; Summary'!$N$15,"midstation row!",""))</f>
        <v/>
      </c>
    </row>
    <row r="29" spans="1:14" x14ac:dyDescent="0.2">
      <c r="A29" s="69">
        <f t="shared" si="4"/>
        <v>20</v>
      </c>
      <c r="B29" s="57">
        <f>IF('Setup &amp; Summary'!$N$15&gt;A29,A!B28+1,"")</f>
        <v>21</v>
      </c>
      <c r="C29" s="71">
        <v>8.5</v>
      </c>
      <c r="D29" s="72">
        <v>8.1999999999999993</v>
      </c>
      <c r="E29" s="72">
        <v>8.4</v>
      </c>
      <c r="F29" s="25">
        <f t="shared" si="1"/>
        <v>8.3666666666666671</v>
      </c>
      <c r="G29" s="21">
        <f t="shared" si="2"/>
        <v>-0.13333333333333286</v>
      </c>
      <c r="H29" s="25">
        <f t="shared" si="3"/>
        <v>-11.999999999999998</v>
      </c>
      <c r="I29" s="68">
        <f>IF(B29="","",IF(B29='Setup &amp; Summary'!$N$15,J29-H29,I30-$N$5))</f>
        <v>19.06212121212123</v>
      </c>
      <c r="J29" s="22">
        <f>IF(B29="","",IF(B29='Setup &amp; Summary'!$N$15,INDEX(F!J:J,MATCH(MAX(F!B:B)/2,F!B:B)),I29+H29))</f>
        <v>7.062121212121232</v>
      </c>
      <c r="K29" s="23">
        <f t="shared" si="0"/>
        <v>70.621212121212324</v>
      </c>
      <c r="M29" s="60" t="str">
        <f>IF(B29="","",IF(B29*2='Setup &amp; Summary'!$N$15,"midstation row!",""))</f>
        <v/>
      </c>
    </row>
    <row r="30" spans="1:14" x14ac:dyDescent="0.2">
      <c r="A30" s="69">
        <f t="shared" si="4"/>
        <v>21</v>
      </c>
      <c r="B30" s="57">
        <f>IF('Setup &amp; Summary'!$N$15&gt;A30,A!B29+1,"")</f>
        <v>22</v>
      </c>
      <c r="C30" s="71">
        <v>7.4</v>
      </c>
      <c r="D30" s="72">
        <v>7.3</v>
      </c>
      <c r="E30" s="72">
        <v>7.2</v>
      </c>
      <c r="F30" s="25">
        <f t="shared" si="1"/>
        <v>7.3</v>
      </c>
      <c r="G30" s="21">
        <f t="shared" si="2"/>
        <v>-1.2000000000000002</v>
      </c>
      <c r="H30" s="25">
        <f t="shared" si="3"/>
        <v>-13.2</v>
      </c>
      <c r="I30" s="68">
        <f>IF(B30="","",IF(B30='Setup &amp; Summary'!$N$15,J30-H30,I31-$N$5))</f>
        <v>20.308333333333351</v>
      </c>
      <c r="J30" s="22">
        <f>IF(B30="","",IF(B30='Setup &amp; Summary'!$N$15,INDEX(F!J:J,MATCH(MAX(F!B:B)/2,F!B:B)),I30+H30))</f>
        <v>7.1083333333333529</v>
      </c>
      <c r="K30" s="23">
        <f t="shared" si="0"/>
        <v>71.083333333333528</v>
      </c>
      <c r="M30" s="60" t="str">
        <f>IF(B30="","",IF(B30*2='Setup &amp; Summary'!$N$15,"midstation row!",""))</f>
        <v/>
      </c>
    </row>
    <row r="31" spans="1:14" x14ac:dyDescent="0.2">
      <c r="A31" s="69">
        <f t="shared" si="4"/>
        <v>22</v>
      </c>
      <c r="B31" s="57" t="str">
        <f>IF('Setup &amp; Summary'!$N$15&gt;A31,A!B30+1,"")</f>
        <v/>
      </c>
      <c r="C31" s="71"/>
      <c r="D31" s="72"/>
      <c r="E31" s="72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68" t="str">
        <f>IF(B31="","",IF(B31='Setup &amp; Summary'!$N$15,J31-H31,I32-$N$5))</f>
        <v/>
      </c>
      <c r="J31" s="22" t="str">
        <f>IF(B31="","",IF(B31='Setup &amp; Summary'!$N$15,INDEX(F!J:J,MATCH(MAX(F!B:B)/2,F!B:B)),I31+H31))</f>
        <v/>
      </c>
      <c r="K31" s="23" t="str">
        <f t="shared" si="0"/>
        <v/>
      </c>
      <c r="M31" s="60" t="str">
        <f>IF(B31="","",IF(B31*2='Setup &amp; Summary'!$N$15,"midstation row!",""))</f>
        <v/>
      </c>
    </row>
    <row r="32" spans="1:14" x14ac:dyDescent="0.2">
      <c r="A32" s="69">
        <f t="shared" si="4"/>
        <v>23</v>
      </c>
      <c r="B32" s="57" t="str">
        <f>IF('Setup &amp; Summary'!$N$15&gt;A32,A!B31+1,"")</f>
        <v/>
      </c>
      <c r="C32" s="71"/>
      <c r="D32" s="72"/>
      <c r="E32" s="72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68" t="str">
        <f>IF(B32="","",IF(B32='Setup &amp; Summary'!$N$15,J32-H32,I33-$N$5))</f>
        <v/>
      </c>
      <c r="J32" s="22" t="str">
        <f>IF(B32="","",IF(B32='Setup &amp; Summary'!$N$15,INDEX(F!J:J,MATCH(MAX(F!B:B)/2,F!B:B)),I32+H32))</f>
        <v/>
      </c>
      <c r="K32" s="23" t="str">
        <f t="shared" si="0"/>
        <v/>
      </c>
      <c r="M32" s="60" t="str">
        <f>IF(B32="","",IF(B32*2='Setup &amp; Summary'!$N$15,"midstation row!",""))</f>
        <v/>
      </c>
    </row>
    <row r="33" spans="1:13" x14ac:dyDescent="0.2">
      <c r="A33" s="69">
        <f t="shared" si="4"/>
        <v>24</v>
      </c>
      <c r="B33" s="57" t="str">
        <f>IF('Setup &amp; Summary'!$N$15&gt;A33,A!B32+1,"")</f>
        <v/>
      </c>
      <c r="C33" s="71"/>
      <c r="D33" s="72"/>
      <c r="E33" s="72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68" t="str">
        <f>IF(B33="","",IF(B33='Setup &amp; Summary'!$N$15,J33-H33,I34-$N$5))</f>
        <v/>
      </c>
      <c r="J33" s="22" t="str">
        <f>IF(B33="","",IF(B33='Setup &amp; Summary'!$N$15,INDEX(F!J:J,MATCH(MAX(F!B:B)/2,F!B:B)),I33+H33))</f>
        <v/>
      </c>
      <c r="K33" s="23" t="str">
        <f t="shared" si="0"/>
        <v/>
      </c>
      <c r="M33" s="60" t="str">
        <f>IF(B33="","",IF(B33*2='Setup &amp; Summary'!$N$15,"midstation row!",""))</f>
        <v/>
      </c>
    </row>
    <row r="34" spans="1:13" x14ac:dyDescent="0.2">
      <c r="A34" s="69">
        <f t="shared" si="4"/>
        <v>25</v>
      </c>
      <c r="B34" s="57" t="str">
        <f>IF('Setup &amp; Summary'!$N$15&gt;A34,A!B33+1,"")</f>
        <v/>
      </c>
      <c r="C34" s="71"/>
      <c r="D34" s="72"/>
      <c r="E34" s="72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68" t="str">
        <f>IF(B34="","",IF(B34='Setup &amp; Summary'!$N$15,J34-H34,I35-$N$5))</f>
        <v/>
      </c>
      <c r="J34" s="22" t="str">
        <f>IF(B34="","",IF(B34='Setup &amp; Summary'!$N$15,INDEX(F!J:J,MATCH(MAX(F!B:B)/2,F!B:B)),I34+H34))</f>
        <v/>
      </c>
      <c r="K34" s="23" t="str">
        <f t="shared" si="0"/>
        <v/>
      </c>
      <c r="M34" s="60" t="str">
        <f>IF(B34="","",IF(B34*2='Setup &amp; Summary'!$N$15,"midstation row!",""))</f>
        <v/>
      </c>
    </row>
    <row r="35" spans="1:13" x14ac:dyDescent="0.2">
      <c r="A35" s="69">
        <f t="shared" si="4"/>
        <v>26</v>
      </c>
      <c r="B35" s="57" t="str">
        <f>IF('Setup &amp; Summary'!$N$15&gt;A35,A!B34+1,"")</f>
        <v/>
      </c>
      <c r="C35" s="71"/>
      <c r="D35" s="72"/>
      <c r="E35" s="72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68" t="str">
        <f>IF(B35="","",IF(B35='Setup &amp; Summary'!$N$15,J35-H35,I36-$N$5))</f>
        <v/>
      </c>
      <c r="J35" s="22" t="str">
        <f>IF(B35="","",IF(B35='Setup &amp; Summary'!$N$15,INDEX(F!J:J,MATCH(MAX(F!B:B)/2,F!B:B)),I35+H35))</f>
        <v/>
      </c>
      <c r="K35" s="23" t="str">
        <f t="shared" si="0"/>
        <v/>
      </c>
      <c r="M35" s="60" t="str">
        <f>IF(B35="","",IF(B35*2='Setup &amp; Summary'!$N$15,"midstation row!",""))</f>
        <v/>
      </c>
    </row>
    <row r="36" spans="1:13" x14ac:dyDescent="0.2">
      <c r="A36" s="69">
        <f t="shared" si="4"/>
        <v>27</v>
      </c>
      <c r="B36" s="57" t="str">
        <f>IF('Setup &amp; Summary'!$N$15&gt;A36,A!B35+1,"")</f>
        <v/>
      </c>
      <c r="C36" s="71"/>
      <c r="D36" s="72"/>
      <c r="E36" s="72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68" t="str">
        <f>IF(B36="","",IF(B36='Setup &amp; Summary'!$N$15,J36-H36,I37-$N$5))</f>
        <v/>
      </c>
      <c r="J36" s="22" t="str">
        <f>IF(B36="","",IF(B36='Setup &amp; Summary'!$N$15,INDEX(F!J:J,MATCH(MAX(F!B:B)/2,F!B:B)),I36+H36))</f>
        <v/>
      </c>
      <c r="K36" s="23" t="str">
        <f t="shared" si="0"/>
        <v/>
      </c>
      <c r="M36" s="60" t="str">
        <f>IF(B36="","",IF(B36*2='Setup &amp; Summary'!$N$15,"midstation row!",""))</f>
        <v/>
      </c>
    </row>
    <row r="37" spans="1:13" x14ac:dyDescent="0.2">
      <c r="A37" s="69">
        <f t="shared" si="4"/>
        <v>28</v>
      </c>
      <c r="B37" s="57" t="str">
        <f>IF('Setup &amp; Summary'!$N$15&gt;A37,A!B36+1,"")</f>
        <v/>
      </c>
      <c r="C37" s="71"/>
      <c r="D37" s="72"/>
      <c r="E37" s="72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68" t="str">
        <f>IF(B37="","",IF(B37='Setup &amp; Summary'!$N$15,J37-H37,I38-$N$5))</f>
        <v/>
      </c>
      <c r="J37" s="22" t="str">
        <f>IF(B37="","",IF(B37='Setup &amp; Summary'!$N$15,INDEX(F!J:J,MATCH(MAX(F!B:B)/2,F!B:B)),I37+H37))</f>
        <v/>
      </c>
      <c r="K37" s="23" t="str">
        <f t="shared" si="0"/>
        <v/>
      </c>
      <c r="M37" s="60" t="str">
        <f>IF(B37="","",IF(B37*2='Setup &amp; Summary'!$N$15,"midstation row!",""))</f>
        <v/>
      </c>
    </row>
    <row r="38" spans="1:13" x14ac:dyDescent="0.2">
      <c r="A38" s="69">
        <f t="shared" si="4"/>
        <v>29</v>
      </c>
      <c r="B38" s="57" t="str">
        <f>IF('Setup &amp; Summary'!$N$15&gt;A38,A!B37+1,"")</f>
        <v/>
      </c>
      <c r="C38" s="71"/>
      <c r="D38" s="72"/>
      <c r="E38" s="72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68" t="str">
        <f>IF(B38="","",IF(B38='Setup &amp; Summary'!$N$15,J38-H38,I39-$N$5))</f>
        <v/>
      </c>
      <c r="J38" s="22" t="str">
        <f>IF(B38="","",IF(B38='Setup &amp; Summary'!$N$15,INDEX(F!J:J,MATCH(MAX(F!B:B)/2,F!B:B)),I38+H38))</f>
        <v/>
      </c>
      <c r="K38" s="23" t="str">
        <f t="shared" si="0"/>
        <v/>
      </c>
      <c r="M38" s="60" t="str">
        <f>IF(B38="","",IF(B38*2='Setup &amp; Summary'!$N$15,"midstation row!",""))</f>
        <v/>
      </c>
    </row>
    <row r="39" spans="1:13" x14ac:dyDescent="0.2">
      <c r="A39" s="69">
        <f t="shared" si="4"/>
        <v>30</v>
      </c>
      <c r="B39" s="57" t="str">
        <f>IF('Setup &amp; Summary'!$N$15&gt;A39,A!B38+1,"")</f>
        <v/>
      </c>
      <c r="C39" s="71"/>
      <c r="D39" s="72"/>
      <c r="E39" s="72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68" t="str">
        <f>IF(B39="","",IF(B39='Setup &amp; Summary'!$N$15,J39-H39,I40-$N$5))</f>
        <v/>
      </c>
      <c r="J39" s="22" t="str">
        <f>IF(B39="","",IF(B39='Setup &amp; Summary'!$N$15,INDEX(F!J:J,MATCH(MAX(F!B:B)/2,F!B:B)),I39+H39))</f>
        <v/>
      </c>
      <c r="K39" s="23" t="str">
        <f t="shared" si="0"/>
        <v/>
      </c>
      <c r="M39" s="60" t="str">
        <f>IF(B39="","",IF(B39*2='Setup &amp; Summary'!$N$15,"midstation row!",""))</f>
        <v/>
      </c>
    </row>
    <row r="40" spans="1:13" x14ac:dyDescent="0.2">
      <c r="A40" s="69">
        <f t="shared" si="4"/>
        <v>31</v>
      </c>
      <c r="B40" s="57" t="str">
        <f>IF('Setup &amp; Summary'!$N$15&gt;A40,A!B39+1,"")</f>
        <v/>
      </c>
      <c r="C40" s="71"/>
      <c r="D40" s="72"/>
      <c r="E40" s="72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68" t="str">
        <f>IF(B40="","",IF(B40='Setup &amp; Summary'!$N$15,J40-H40,I41-$N$5))</f>
        <v/>
      </c>
      <c r="J40" s="22" t="str">
        <f>IF(B40="","",IF(B40='Setup &amp; Summary'!$N$15,INDEX(F!J:J,MATCH(MAX(F!B:B)/2,F!B:B)),I40+H40))</f>
        <v/>
      </c>
      <c r="K40" s="23" t="str">
        <f t="shared" si="0"/>
        <v/>
      </c>
      <c r="M40" s="60" t="str">
        <f>IF(B40="","",IF(B40*2='Setup &amp; Summary'!$N$15,"midstation row!",""))</f>
        <v/>
      </c>
    </row>
    <row r="41" spans="1:13" x14ac:dyDescent="0.2">
      <c r="A41" s="69">
        <f t="shared" si="4"/>
        <v>32</v>
      </c>
      <c r="B41" s="57" t="str">
        <f>IF('Setup &amp; Summary'!$N$15&gt;A41,A!B40+1,"")</f>
        <v/>
      </c>
      <c r="C41" s="71"/>
      <c r="D41" s="72"/>
      <c r="E41" s="72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68" t="str">
        <f>IF(B41="","",IF(B41='Setup &amp; Summary'!$N$15,J41-H41,I42-$N$5))</f>
        <v/>
      </c>
      <c r="J41" s="22" t="str">
        <f>IF(B41="","",IF(B41='Setup &amp; Summary'!$N$15,INDEX(F!J:J,MATCH(MAX(F!B:B)/2,F!B:B)),I41+H41))</f>
        <v/>
      </c>
      <c r="K41" s="23" t="str">
        <f t="shared" si="0"/>
        <v/>
      </c>
      <c r="M41" s="60" t="str">
        <f>IF(B41="","",IF(B41*2='Setup &amp; Summary'!$N$15,"midstation row!",""))</f>
        <v/>
      </c>
    </row>
    <row r="42" spans="1:13" x14ac:dyDescent="0.2">
      <c r="A42" s="69">
        <f t="shared" si="4"/>
        <v>33</v>
      </c>
      <c r="B42" s="57" t="str">
        <f>IF('Setup &amp; Summary'!$N$15&gt;A42,A!B41+1,"")</f>
        <v/>
      </c>
      <c r="C42" s="71"/>
      <c r="D42" s="72"/>
      <c r="E42" s="72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68" t="str">
        <f>IF(B42="","",IF(B42='Setup &amp; Summary'!$N$15,J42-H42,I43-$N$5))</f>
        <v/>
      </c>
      <c r="J42" s="22" t="str">
        <f>IF(B42="","",IF(B42='Setup &amp; Summary'!$N$15,INDEX(F!J:J,MATCH(MAX(F!B:B)/2,F!B:B)),I42+H42))</f>
        <v/>
      </c>
      <c r="K42" s="23" t="str">
        <f t="shared" si="0"/>
        <v/>
      </c>
      <c r="M42" s="60" t="str">
        <f>IF(B42="","",IF(B42*2='Setup &amp; Summary'!$N$15,"midstation row!",""))</f>
        <v/>
      </c>
    </row>
    <row r="43" spans="1:13" x14ac:dyDescent="0.2">
      <c r="A43" s="69">
        <f t="shared" si="4"/>
        <v>34</v>
      </c>
      <c r="B43" s="57" t="str">
        <f>IF('Setup &amp; Summary'!$N$15&gt;A43,A!B42+1,"")</f>
        <v/>
      </c>
      <c r="C43" s="71"/>
      <c r="D43" s="72"/>
      <c r="E43" s="72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68" t="str">
        <f>IF(B43="","",IF(B43='Setup &amp; Summary'!$N$15,J43-H43,I44-$N$5))</f>
        <v/>
      </c>
      <c r="J43" s="22" t="str">
        <f>IF(B43="","",IF(B43='Setup &amp; Summary'!$N$15,INDEX(F!J:J,MATCH(MAX(F!B:B)/2,F!B:B)),I43+H43))</f>
        <v/>
      </c>
      <c r="K43" s="23" t="str">
        <f t="shared" si="0"/>
        <v/>
      </c>
      <c r="M43" s="60" t="str">
        <f>IF(B43="","",IF(B43*2='Setup &amp; Summary'!$N$15,"midstation row!",""))</f>
        <v/>
      </c>
    </row>
    <row r="44" spans="1:13" x14ac:dyDescent="0.2">
      <c r="A44" s="69">
        <f t="shared" si="4"/>
        <v>35</v>
      </c>
      <c r="B44" s="57" t="str">
        <f>IF('Setup &amp; Summary'!$N$15&gt;A44,A!B43+1,"")</f>
        <v/>
      </c>
      <c r="C44" s="71"/>
      <c r="D44" s="72"/>
      <c r="E44" s="72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68" t="str">
        <f>IF(B44="","",IF(B44='Setup &amp; Summary'!$N$15,J44-H44,I45-$N$5))</f>
        <v/>
      </c>
      <c r="J44" s="22" t="str">
        <f>IF(B44="","",IF(B44='Setup &amp; Summary'!$N$15,INDEX(F!J:J,MATCH(MAX(F!B:B)/2,F!B:B)),I44+H44))</f>
        <v/>
      </c>
      <c r="K44" s="23" t="str">
        <f t="shared" si="0"/>
        <v/>
      </c>
      <c r="M44" s="60" t="str">
        <f>IF(B44="","",IF(B44*2='Setup &amp; Summary'!$N$15,"midstation row!",""))</f>
        <v/>
      </c>
    </row>
    <row r="45" spans="1:13" x14ac:dyDescent="0.2">
      <c r="A45" s="69">
        <f t="shared" si="4"/>
        <v>36</v>
      </c>
      <c r="B45" s="57" t="str">
        <f>IF('Setup &amp; Summary'!$N$15&gt;A45,A!B44+1,"")</f>
        <v/>
      </c>
      <c r="C45" s="71"/>
      <c r="D45" s="72"/>
      <c r="E45" s="72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68" t="str">
        <f>IF(B45="","",IF(B45='Setup &amp; Summary'!$N$15,J45-H45,I46-$N$5))</f>
        <v/>
      </c>
      <c r="J45" s="22" t="str">
        <f>IF(B45="","",IF(B45='Setup &amp; Summary'!$N$15,INDEX(F!J:J,MATCH(MAX(F!B:B)/2,F!B:B)),I45+H45))</f>
        <v/>
      </c>
      <c r="K45" s="23" t="str">
        <f t="shared" si="0"/>
        <v/>
      </c>
      <c r="M45" s="60" t="str">
        <f>IF(B45="","",IF(B45*2='Setup &amp; Summary'!$N$15,"midstation row!",""))</f>
        <v/>
      </c>
    </row>
    <row r="46" spans="1:13" x14ac:dyDescent="0.2">
      <c r="A46" s="69">
        <f t="shared" si="4"/>
        <v>37</v>
      </c>
      <c r="B46" s="57" t="str">
        <f>IF('Setup &amp; Summary'!$N$15&gt;A46,A!B45+1,"")</f>
        <v/>
      </c>
      <c r="C46" s="71"/>
      <c r="D46" s="72"/>
      <c r="E46" s="72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68" t="str">
        <f>IF(B46="","",IF(B46='Setup &amp; Summary'!$N$15,J46-H46,I47-$N$5))</f>
        <v/>
      </c>
      <c r="J46" s="22" t="str">
        <f>IF(B46="","",IF(B46='Setup &amp; Summary'!$N$15,INDEX(F!J:J,MATCH(MAX(F!B:B)/2,F!B:B)),I46+H46))</f>
        <v/>
      </c>
      <c r="K46" s="23" t="str">
        <f t="shared" si="0"/>
        <v/>
      </c>
      <c r="M46" s="60" t="str">
        <f>IF(B46="","",IF(B46*2='Setup &amp; Summary'!$N$15,"midstation row!",""))</f>
        <v/>
      </c>
    </row>
    <row r="47" spans="1:13" x14ac:dyDescent="0.2">
      <c r="A47" s="69">
        <f t="shared" si="4"/>
        <v>38</v>
      </c>
      <c r="B47" s="57" t="str">
        <f>IF('Setup &amp; Summary'!$N$15&gt;A47,A!B46+1,"")</f>
        <v/>
      </c>
      <c r="C47" s="71"/>
      <c r="D47" s="72"/>
      <c r="E47" s="72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68" t="str">
        <f>IF(B47="","",IF(B47='Setup &amp; Summary'!$N$15,J47-H47,I48-$N$5))</f>
        <v/>
      </c>
      <c r="J47" s="22" t="str">
        <f>IF(B47="","",IF(B47='Setup &amp; Summary'!$N$15,INDEX(F!J:J,MATCH(MAX(F!B:B)/2,F!B:B)),I47+H47))</f>
        <v/>
      </c>
      <c r="K47" s="23" t="str">
        <f t="shared" si="0"/>
        <v/>
      </c>
      <c r="M47" s="60" t="str">
        <f>IF(B47="","",IF(B47*2='Setup &amp; Summary'!$N$15,"midstation row!",""))</f>
        <v/>
      </c>
    </row>
    <row r="48" spans="1:13" x14ac:dyDescent="0.2">
      <c r="A48" s="69">
        <f t="shared" si="4"/>
        <v>39</v>
      </c>
      <c r="B48" s="57" t="str">
        <f>IF('Setup &amp; Summary'!$N$15&gt;A48,A!B47+1,"")</f>
        <v/>
      </c>
      <c r="C48" s="71"/>
      <c r="D48" s="72"/>
      <c r="E48" s="72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68" t="str">
        <f>IF(B48="","",IF(B48='Setup &amp; Summary'!$N$15,J48-H48,I49-$N$5))</f>
        <v/>
      </c>
      <c r="J48" s="22" t="str">
        <f>IF(B48="","",IF(B48='Setup &amp; Summary'!$N$15,INDEX(F!J:J,MATCH(MAX(F!B:B)/2,F!B:B)),I48+H48))</f>
        <v/>
      </c>
      <c r="K48" s="23" t="str">
        <f t="shared" si="0"/>
        <v/>
      </c>
      <c r="M48" s="60" t="str">
        <f>IF(B48="","",IF(B48*2='Setup &amp; Summary'!$N$15,"midstation row!",""))</f>
        <v/>
      </c>
    </row>
    <row r="49" spans="1:13" x14ac:dyDescent="0.2">
      <c r="A49" s="69">
        <f t="shared" si="4"/>
        <v>40</v>
      </c>
      <c r="B49" s="57" t="str">
        <f>IF('Setup &amp; Summary'!$N$15&gt;A49,A!B48+1,"")</f>
        <v/>
      </c>
      <c r="C49" s="71"/>
      <c r="D49" s="72"/>
      <c r="E49" s="72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68" t="str">
        <f>IF(B49="","",IF(B49='Setup &amp; Summary'!$N$15,J49-H49,I50-$N$5))</f>
        <v/>
      </c>
      <c r="J49" s="22" t="str">
        <f>IF(B49="","",IF(B49='Setup &amp; Summary'!$N$15,INDEX(F!J:J,MATCH(MAX(F!B:B)/2,F!B:B)),I49+H49))</f>
        <v/>
      </c>
      <c r="K49" s="23" t="str">
        <f t="shared" si="0"/>
        <v/>
      </c>
      <c r="M49" s="60" t="str">
        <f>IF(B49="","",IF(B49*2='Setup &amp; Summary'!$N$15,"midstation row!",""))</f>
        <v/>
      </c>
    </row>
    <row r="50" spans="1:13" x14ac:dyDescent="0.2">
      <c r="A50" s="69">
        <f t="shared" si="4"/>
        <v>41</v>
      </c>
      <c r="B50" s="57" t="str">
        <f>IF('Setup &amp; Summary'!$N$15&gt;A50,A!B49+1,"")</f>
        <v/>
      </c>
      <c r="C50" s="71"/>
      <c r="D50" s="72"/>
      <c r="E50" s="72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68" t="str">
        <f>IF(B50="","",IF(B50='Setup &amp; Summary'!$N$15,J50-H50,I51-$N$5))</f>
        <v/>
      </c>
      <c r="J50" s="22" t="str">
        <f>IF(B50="","",IF(B50='Setup &amp; Summary'!$N$15,INDEX(F!J:J,MATCH(MAX(F!B:B)/2,F!B:B)),I50+H50))</f>
        <v/>
      </c>
      <c r="K50" s="23" t="str">
        <f t="shared" si="0"/>
        <v/>
      </c>
      <c r="M50" s="60" t="str">
        <f>IF(B50="","",IF(B50*2='Setup &amp; Summary'!$N$15,"midstation row!",""))</f>
        <v/>
      </c>
    </row>
    <row r="51" spans="1:13" x14ac:dyDescent="0.2">
      <c r="A51" s="69">
        <f t="shared" si="4"/>
        <v>42</v>
      </c>
      <c r="B51" s="57" t="str">
        <f>IF('Setup &amp; Summary'!$N$15&gt;A51,A!B50+1,"")</f>
        <v/>
      </c>
      <c r="C51" s="71"/>
      <c r="D51" s="72"/>
      <c r="E51" s="72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68" t="str">
        <f>IF(B51="","",IF(B51='Setup &amp; Summary'!$N$15,J51-H51,I52-$N$5))</f>
        <v/>
      </c>
      <c r="J51" s="22" t="str">
        <f>IF(B51="","",IF(B51='Setup &amp; Summary'!$N$15,INDEX(F!J:J,MATCH(MAX(F!B:B)/2,F!B:B)),I51+H51))</f>
        <v/>
      </c>
      <c r="K51" s="23" t="str">
        <f t="shared" si="0"/>
        <v/>
      </c>
      <c r="M51" s="60" t="str">
        <f>IF(B51="","",IF(B51*2='Setup &amp; Summary'!$N$15,"midstation row!",""))</f>
        <v/>
      </c>
    </row>
    <row r="52" spans="1:13" x14ac:dyDescent="0.2">
      <c r="A52" s="69">
        <f t="shared" si="4"/>
        <v>43</v>
      </c>
      <c r="B52" s="57" t="str">
        <f>IF('Setup &amp; Summary'!$N$15&gt;A52,A!B51+1,"")</f>
        <v/>
      </c>
      <c r="C52" s="71"/>
      <c r="D52" s="72"/>
      <c r="E52" s="72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68" t="str">
        <f>IF(B52="","",IF(B52='Setup &amp; Summary'!$N$15,J52-H52,I53-$N$5))</f>
        <v/>
      </c>
      <c r="J52" s="22" t="str">
        <f>IF(B52="","",IF(B52='Setup &amp; Summary'!$N$15,INDEX(F!J:J,MATCH(MAX(F!B:B)/2,F!B:B)),I52+H52))</f>
        <v/>
      </c>
      <c r="K52" s="23" t="str">
        <f t="shared" si="0"/>
        <v/>
      </c>
      <c r="M52" s="60" t="str">
        <f>IF(B52="","",IF(B52*2='Setup &amp; Summary'!$N$15,"midstation row!",""))</f>
        <v/>
      </c>
    </row>
    <row r="53" spans="1:13" x14ac:dyDescent="0.2">
      <c r="A53" s="69">
        <f t="shared" si="4"/>
        <v>44</v>
      </c>
      <c r="B53" s="57" t="str">
        <f>IF('Setup &amp; Summary'!$N$15&gt;A53,A!B52+1,"")</f>
        <v/>
      </c>
      <c r="C53" s="71"/>
      <c r="D53" s="72"/>
      <c r="E53" s="72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68" t="str">
        <f>IF(B53="","",IF(B53='Setup &amp; Summary'!$N$15,J53-H53,I54-$N$5))</f>
        <v/>
      </c>
      <c r="J53" s="22" t="str">
        <f>IF(B53="","",IF(B53='Setup &amp; Summary'!$N$15,INDEX(F!J:J,MATCH(MAX(F!B:B)/2,F!B:B)),I53+H53))</f>
        <v/>
      </c>
      <c r="K53" s="23" t="str">
        <f t="shared" si="0"/>
        <v/>
      </c>
      <c r="M53" s="60" t="str">
        <f>IF(B53="","",IF(B53*2='Setup &amp; Summary'!$N$15,"midstation row!",""))</f>
        <v/>
      </c>
    </row>
    <row r="54" spans="1:13" x14ac:dyDescent="0.2">
      <c r="A54" s="69">
        <f t="shared" si="4"/>
        <v>45</v>
      </c>
      <c r="B54" s="57" t="str">
        <f>IF('Setup &amp; Summary'!$N$15&gt;A54,A!B53+1,"")</f>
        <v/>
      </c>
      <c r="C54" s="71"/>
      <c r="D54" s="72"/>
      <c r="E54" s="72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68" t="str">
        <f>IF(B54="","",IF(B54='Setup &amp; Summary'!$N$15,J54-H54,I55-$N$5))</f>
        <v/>
      </c>
      <c r="J54" s="22" t="str">
        <f>IF(B54="","",IF(B54='Setup &amp; Summary'!$N$15,INDEX(F!J:J,MATCH(MAX(F!B:B)/2,F!B:B)),I54+H54))</f>
        <v/>
      </c>
      <c r="K54" s="23" t="str">
        <f t="shared" si="0"/>
        <v/>
      </c>
      <c r="M54" s="60" t="str">
        <f>IF(B54="","",IF(B54*2='Setup &amp; Summary'!$N$15,"midstation row!",""))</f>
        <v/>
      </c>
    </row>
    <row r="55" spans="1:13" x14ac:dyDescent="0.2">
      <c r="A55" s="69">
        <f t="shared" si="4"/>
        <v>46</v>
      </c>
      <c r="B55" s="57" t="str">
        <f>IF('Setup &amp; Summary'!$N$15&gt;A55,A!B54+1,"")</f>
        <v/>
      </c>
      <c r="C55" s="71"/>
      <c r="D55" s="72"/>
      <c r="E55" s="72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68" t="str">
        <f>IF(B55="","",IF(B55='Setup &amp; Summary'!$N$15,J55-H55,I56-$N$5))</f>
        <v/>
      </c>
      <c r="J55" s="22" t="str">
        <f>IF(B55="","",IF(B55='Setup &amp; Summary'!$N$15,INDEX(F!J:J,MATCH(MAX(F!B:B)/2,F!B:B)),I55+H55))</f>
        <v/>
      </c>
      <c r="K55" s="23" t="str">
        <f t="shared" si="0"/>
        <v/>
      </c>
      <c r="M55" s="60" t="str">
        <f>IF(B55="","",IF(B55*2='Setup &amp; Summary'!$N$15,"midstation row!",""))</f>
        <v/>
      </c>
    </row>
    <row r="56" spans="1:13" x14ac:dyDescent="0.2">
      <c r="A56" s="69">
        <f t="shared" si="4"/>
        <v>47</v>
      </c>
      <c r="B56" s="57" t="str">
        <f>IF('Setup &amp; Summary'!$N$15&gt;A56,A!B55+1,"")</f>
        <v/>
      </c>
      <c r="C56" s="71"/>
      <c r="D56" s="72"/>
      <c r="E56" s="72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68" t="str">
        <f>IF(B56="","",IF(B56='Setup &amp; Summary'!$N$15,J56-H56,I57-$N$5))</f>
        <v/>
      </c>
      <c r="J56" s="22" t="str">
        <f>IF(B56="","",IF(B56='Setup &amp; Summary'!$N$15,INDEX(F!J:J,MATCH(MAX(F!B:B)/2,F!B:B)),I56+H56))</f>
        <v/>
      </c>
      <c r="K56" s="23" t="str">
        <f t="shared" si="0"/>
        <v/>
      </c>
      <c r="M56" s="60" t="str">
        <f>IF(B56="","",IF(B56*2='Setup &amp; Summary'!$N$15,"midstation row!",""))</f>
        <v/>
      </c>
    </row>
    <row r="57" spans="1:13" x14ac:dyDescent="0.2">
      <c r="A57" s="69">
        <f t="shared" si="4"/>
        <v>48</v>
      </c>
      <c r="B57" s="57" t="str">
        <f>IF('Setup &amp; Summary'!$N$15&gt;A57,A!B56+1,"")</f>
        <v/>
      </c>
      <c r="C57" s="71"/>
      <c r="D57" s="72"/>
      <c r="E57" s="72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68" t="str">
        <f>IF(B57="","",IF(B57='Setup &amp; Summary'!$N$15,J57-H57,I58-$N$5))</f>
        <v/>
      </c>
      <c r="J57" s="22" t="str">
        <f>IF(B57="","",IF(B57='Setup &amp; Summary'!$N$15,INDEX(F!J:J,MATCH(MAX(F!B:B)/2,F!B:B)),I57+H57))</f>
        <v/>
      </c>
      <c r="K57" s="23" t="str">
        <f t="shared" si="0"/>
        <v/>
      </c>
      <c r="M57" s="60" t="str">
        <f>IF(B57="","",IF(B57*2='Setup &amp; Summary'!$N$15,"midstation row!",""))</f>
        <v/>
      </c>
    </row>
    <row r="58" spans="1:13" x14ac:dyDescent="0.2">
      <c r="A58" s="69">
        <f t="shared" si="4"/>
        <v>49</v>
      </c>
      <c r="B58" s="57" t="str">
        <f>IF('Setup &amp; Summary'!$N$15&gt;A58,A!B57+1,"")</f>
        <v/>
      </c>
      <c r="C58" s="71"/>
      <c r="D58" s="72"/>
      <c r="E58" s="72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68" t="str">
        <f>IF(B58="","",IF(B58='Setup &amp; Summary'!$N$15,J58-H58,I59-$N$5))</f>
        <v/>
      </c>
      <c r="J58" s="22" t="str">
        <f>IF(B58="","",IF(B58='Setup &amp; Summary'!$N$15,INDEX(F!J:J,MATCH(MAX(F!B:B)/2,F!B:B)),I58+H58))</f>
        <v/>
      </c>
      <c r="K58" s="23" t="str">
        <f t="shared" si="0"/>
        <v/>
      </c>
      <c r="M58" s="60" t="str">
        <f>IF(B58="","",IF(B58*2='Setup &amp; Summary'!$N$15,"midstation row!",""))</f>
        <v/>
      </c>
    </row>
    <row r="59" spans="1:13" x14ac:dyDescent="0.2">
      <c r="A59" s="69">
        <f t="shared" si="4"/>
        <v>50</v>
      </c>
      <c r="B59" s="57" t="str">
        <f>IF('Setup &amp; Summary'!$N$15&gt;A59,A!B58+1,"")</f>
        <v/>
      </c>
      <c r="C59" s="71"/>
      <c r="D59" s="72"/>
      <c r="E59" s="72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68" t="str">
        <f>IF(B59="","",IF(B59='Setup &amp; Summary'!$N$15,J59-H59,I60-$N$5))</f>
        <v/>
      </c>
      <c r="J59" s="22" t="str">
        <f>IF(B59="","",IF(B59='Setup &amp; Summary'!$N$15,INDEX(F!J:J,MATCH(MAX(F!B:B)/2,F!B:B)),I59+H59))</f>
        <v/>
      </c>
      <c r="K59" s="23" t="str">
        <f t="shared" si="0"/>
        <v/>
      </c>
      <c r="M59" s="60" t="str">
        <f>IF(B59="","",IF(B59*2='Setup &amp; Summary'!$N$15,"midstation row!",""))</f>
        <v/>
      </c>
    </row>
    <row r="60" spans="1:13" x14ac:dyDescent="0.2">
      <c r="A60" s="69">
        <f t="shared" si="4"/>
        <v>51</v>
      </c>
      <c r="B60" s="57" t="str">
        <f>IF('Setup &amp; Summary'!$N$15&gt;A60,A!B59+1,"")</f>
        <v/>
      </c>
      <c r="C60" s="71"/>
      <c r="D60" s="72"/>
      <c r="E60" s="72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68" t="str">
        <f>IF(B60="","",IF(B60='Setup &amp; Summary'!$N$15,J60-H60,I61-$N$5))</f>
        <v/>
      </c>
      <c r="J60" s="22" t="str">
        <f>IF(B60="","",IF(B60='Setup &amp; Summary'!$N$15,INDEX(F!J:J,MATCH(MAX(F!B:B)/2,F!B:B)),I60+H60))</f>
        <v/>
      </c>
      <c r="K60" s="23" t="str">
        <f t="shared" si="0"/>
        <v/>
      </c>
      <c r="M60" s="60" t="str">
        <f>IF(B60="","",IF(B60*2='Setup &amp; Summary'!$N$15,"midstation row!",""))</f>
        <v/>
      </c>
    </row>
    <row r="61" spans="1:13" x14ac:dyDescent="0.2">
      <c r="A61" s="69">
        <f t="shared" si="4"/>
        <v>52</v>
      </c>
      <c r="B61" s="57" t="str">
        <f>IF('Setup &amp; Summary'!$N$15&gt;A61,A!B60+1,"")</f>
        <v/>
      </c>
      <c r="C61" s="71"/>
      <c r="D61" s="72"/>
      <c r="E61" s="72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68" t="str">
        <f>IF(B61="","",IF(B61='Setup &amp; Summary'!$N$15,J61-H61,I62-$N$5))</f>
        <v/>
      </c>
      <c r="J61" s="22" t="str">
        <f>IF(B61="","",IF(B61='Setup &amp; Summary'!$N$15,INDEX(F!J:J,MATCH(MAX(F!B:B)/2,F!B:B)),I61+H61))</f>
        <v/>
      </c>
      <c r="K61" s="23" t="str">
        <f t="shared" si="0"/>
        <v/>
      </c>
      <c r="M61" s="60" t="str">
        <f>IF(B61="","",IF(B61*2='Setup &amp; Summary'!$N$15,"midstation row!",""))</f>
        <v/>
      </c>
    </row>
    <row r="62" spans="1:13" x14ac:dyDescent="0.2">
      <c r="A62" s="69">
        <f t="shared" si="4"/>
        <v>53</v>
      </c>
      <c r="B62" s="57" t="str">
        <f>IF('Setup &amp; Summary'!$N$15&gt;A62,A!B61+1,"")</f>
        <v/>
      </c>
      <c r="C62" s="71"/>
      <c r="D62" s="72"/>
      <c r="E62" s="72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68" t="str">
        <f>IF(B62="","",IF(B62='Setup &amp; Summary'!$N$15,J62-H62,I63-$N$5))</f>
        <v/>
      </c>
      <c r="J62" s="22" t="str">
        <f>IF(B62="","",IF(B62='Setup &amp; Summary'!$N$15,INDEX(F!J:J,MATCH(MAX(F!B:B)/2,F!B:B)),I62+H62))</f>
        <v/>
      </c>
      <c r="K62" s="23" t="str">
        <f t="shared" si="0"/>
        <v/>
      </c>
      <c r="M62" s="60" t="str">
        <f>IF(B62="","",IF(B62*2='Setup &amp; Summary'!$N$15,"midstation row!",""))</f>
        <v/>
      </c>
    </row>
    <row r="63" spans="1:13" x14ac:dyDescent="0.2">
      <c r="A63" s="69">
        <f t="shared" si="4"/>
        <v>54</v>
      </c>
      <c r="B63" s="57" t="str">
        <f>IF('Setup &amp; Summary'!$N$15&gt;A63,A!B62+1,"")</f>
        <v/>
      </c>
      <c r="C63" s="71"/>
      <c r="D63" s="72"/>
      <c r="E63" s="72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68" t="str">
        <f>IF(B63="","",IF(B63='Setup &amp; Summary'!$N$15,J63-H63,I64-$N$5))</f>
        <v/>
      </c>
      <c r="J63" s="22" t="str">
        <f>IF(B63="","",IF(B63='Setup &amp; Summary'!$N$15,INDEX(F!J:J,MATCH(MAX(F!B:B)/2,F!B:B)),I63+H63))</f>
        <v/>
      </c>
      <c r="K63" s="23" t="str">
        <f t="shared" si="0"/>
        <v/>
      </c>
      <c r="M63" s="60" t="str">
        <f>IF(B63="","",IF(B63*2='Setup &amp; Summary'!$N$15,"midstation row!",""))</f>
        <v/>
      </c>
    </row>
    <row r="64" spans="1:13" x14ac:dyDescent="0.2">
      <c r="A64" s="69">
        <f t="shared" si="4"/>
        <v>55</v>
      </c>
      <c r="B64" s="57" t="str">
        <f>IF('Setup &amp; Summary'!$N$15&gt;A64,A!B63+1,"")</f>
        <v/>
      </c>
      <c r="C64" s="71"/>
      <c r="D64" s="72"/>
      <c r="E64" s="72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68" t="str">
        <f>IF(B64="","",IF(B64='Setup &amp; Summary'!$N$15,J64-H64,I65-$N$5))</f>
        <v/>
      </c>
      <c r="J64" s="22" t="str">
        <f>IF(B64="","",IF(B64='Setup &amp; Summary'!$N$15,INDEX(F!J:J,MATCH(MAX(F!B:B)/2,F!B:B)),I64+H64))</f>
        <v/>
      </c>
      <c r="K64" s="23" t="str">
        <f t="shared" si="0"/>
        <v/>
      </c>
      <c r="M64" s="60" t="str">
        <f>IF(B64="","",IF(B64*2='Setup &amp; Summary'!$N$15,"midstation row!",""))</f>
        <v/>
      </c>
    </row>
    <row r="65" spans="1:13" x14ac:dyDescent="0.2">
      <c r="A65" s="69">
        <f t="shared" si="4"/>
        <v>56</v>
      </c>
      <c r="B65" s="57" t="str">
        <f>IF('Setup &amp; Summary'!$N$15&gt;A65,A!B64+1,"")</f>
        <v/>
      </c>
      <c r="C65" s="71"/>
      <c r="D65" s="72"/>
      <c r="E65" s="72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68" t="str">
        <f>IF(B65="","",IF(B65='Setup &amp; Summary'!$N$15,J65-H65,I66-$N$5))</f>
        <v/>
      </c>
      <c r="J65" s="22" t="str">
        <f>IF(B65="","",IF(B65='Setup &amp; Summary'!$N$15,INDEX(F!J:J,MATCH(MAX(F!B:B)/2,F!B:B)),I65+H65))</f>
        <v/>
      </c>
      <c r="K65" s="23" t="str">
        <f t="shared" si="0"/>
        <v/>
      </c>
      <c r="M65" s="60" t="str">
        <f>IF(B65="","",IF(B65*2='Setup &amp; Summary'!$N$15,"midstation row!",""))</f>
        <v/>
      </c>
    </row>
    <row r="66" spans="1:13" x14ac:dyDescent="0.2">
      <c r="A66" s="69">
        <f t="shared" si="4"/>
        <v>57</v>
      </c>
      <c r="B66" s="57" t="str">
        <f>IF('Setup &amp; Summary'!$N$15&gt;A66,A!B65+1,"")</f>
        <v/>
      </c>
      <c r="C66" s="71"/>
      <c r="D66" s="72"/>
      <c r="E66" s="72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68" t="str">
        <f>IF(B66="","",IF(B66='Setup &amp; Summary'!$N$15,J66-H66,I67-$N$5))</f>
        <v/>
      </c>
      <c r="J66" s="22" t="str">
        <f>IF(B66="","",IF(B66='Setup &amp; Summary'!$N$15,INDEX(F!J:J,MATCH(MAX(F!B:B)/2,F!B:B)),I66+H66))</f>
        <v/>
      </c>
      <c r="K66" s="23" t="str">
        <f t="shared" si="0"/>
        <v/>
      </c>
      <c r="M66" s="60" t="str">
        <f>IF(B66="","",IF(B66*2='Setup &amp; Summary'!$N$15,"midstation row!",""))</f>
        <v/>
      </c>
    </row>
    <row r="67" spans="1:13" x14ac:dyDescent="0.2">
      <c r="A67" s="69">
        <f t="shared" si="4"/>
        <v>58</v>
      </c>
      <c r="B67" s="57" t="str">
        <f>IF('Setup &amp; Summary'!$N$15&gt;A67,A!B66+1,"")</f>
        <v/>
      </c>
      <c r="C67" s="71"/>
      <c r="D67" s="72"/>
      <c r="E67" s="72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68" t="str">
        <f>IF(B67="","",IF(B67='Setup &amp; Summary'!$N$15,J67-H67,I68-$N$5))</f>
        <v/>
      </c>
      <c r="J67" s="22" t="str">
        <f>IF(B67="","",IF(B67='Setup &amp; Summary'!$N$15,INDEX(F!J:J,MATCH(MAX(F!B:B)/2,F!B:B)),I67+H67))</f>
        <v/>
      </c>
      <c r="K67" s="23" t="str">
        <f t="shared" si="0"/>
        <v/>
      </c>
      <c r="M67" s="60" t="str">
        <f>IF(B67="","",IF(B67*2='Setup &amp; Summary'!$N$15,"midstation row!",""))</f>
        <v/>
      </c>
    </row>
    <row r="68" spans="1:13" x14ac:dyDescent="0.2">
      <c r="A68" s="69">
        <f t="shared" si="4"/>
        <v>59</v>
      </c>
      <c r="B68" s="57" t="str">
        <f>IF('Setup &amp; Summary'!$N$15&gt;A68,A!B67+1,"")</f>
        <v/>
      </c>
      <c r="C68" s="71"/>
      <c r="D68" s="72"/>
      <c r="E68" s="72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68" t="str">
        <f>IF(B68="","",IF(B68='Setup &amp; Summary'!$N$15,J68-H68,I69-$N$5))</f>
        <v/>
      </c>
      <c r="J68" s="22" t="str">
        <f>IF(B68="","",IF(B68='Setup &amp; Summary'!$N$15,INDEX(F!J:J,MATCH(MAX(F!B:B)/2,F!B:B)),I68+H68))</f>
        <v/>
      </c>
      <c r="K68" s="23" t="str">
        <f t="shared" si="0"/>
        <v/>
      </c>
      <c r="M68" s="60" t="str">
        <f>IF(B68="","",IF(B68*2='Setup &amp; Summary'!$N$15,"midstation row!",""))</f>
        <v/>
      </c>
    </row>
    <row r="69" spans="1:13" x14ac:dyDescent="0.2">
      <c r="A69" s="69">
        <f t="shared" si="4"/>
        <v>60</v>
      </c>
      <c r="B69" s="57" t="str">
        <f>IF('Setup &amp; Summary'!$N$15&gt;A69,A!B68+1,"")</f>
        <v/>
      </c>
      <c r="C69" s="71"/>
      <c r="D69" s="72"/>
      <c r="E69" s="72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68" t="str">
        <f>IF(B69="","",IF(B69='Setup &amp; Summary'!$N$15,J69-H69,I70-$N$5))</f>
        <v/>
      </c>
      <c r="J69" s="22" t="str">
        <f>IF(B69="","",IF(B69='Setup &amp; Summary'!$N$15,INDEX(F!J:J,MATCH(MAX(F!B:B)/2,F!B:B)),I69+H69))</f>
        <v/>
      </c>
      <c r="K69" s="23" t="str">
        <f t="shared" si="0"/>
        <v/>
      </c>
      <c r="M69" s="60" t="str">
        <f>IF(B69="","",IF(B69*2='Setup &amp; Summary'!$N$15,"midstation row!",""))</f>
        <v/>
      </c>
    </row>
    <row r="70" spans="1:13" x14ac:dyDescent="0.2">
      <c r="A70" s="69">
        <f t="shared" si="4"/>
        <v>61</v>
      </c>
      <c r="B70" s="57" t="str">
        <f>IF('Setup &amp; Summary'!$N$15&gt;A70,A!B69+1,"")</f>
        <v/>
      </c>
      <c r="C70" s="71"/>
      <c r="D70" s="72"/>
      <c r="E70" s="72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68" t="str">
        <f>IF(B70="","",IF(B70='Setup &amp; Summary'!$N$15,J70-H70,I71-$N$5))</f>
        <v/>
      </c>
      <c r="J70" s="22" t="str">
        <f>IF(B70="","",IF(B70='Setup &amp; Summary'!$N$15,INDEX(F!J:J,MATCH(MAX(F!B:B)/2,F!B:B)),I70+H70))</f>
        <v/>
      </c>
      <c r="K70" s="23" t="str">
        <f t="shared" si="0"/>
        <v/>
      </c>
      <c r="M70" s="60" t="str">
        <f>IF(B70="","",IF(B70*2='Setup &amp; Summary'!$N$15,"midstation row!",""))</f>
        <v/>
      </c>
    </row>
    <row r="71" spans="1:13" x14ac:dyDescent="0.2">
      <c r="A71" s="69">
        <f t="shared" si="4"/>
        <v>62</v>
      </c>
      <c r="B71" s="57" t="str">
        <f>IF('Setup &amp; Summary'!$N$15&gt;A71,A!B70+1,"")</f>
        <v/>
      </c>
      <c r="C71" s="71"/>
      <c r="D71" s="72"/>
      <c r="E71" s="72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68" t="str">
        <f>IF(B71="","",IF(B71='Setup &amp; Summary'!$N$15,J71-H71,I72-$N$5))</f>
        <v/>
      </c>
      <c r="J71" s="22" t="str">
        <f>IF(B71="","",IF(B71='Setup &amp; Summary'!$N$15,INDEX(F!J:J,MATCH(MAX(F!B:B)/2,F!B:B)),I71+H71))</f>
        <v/>
      </c>
      <c r="K71" s="23" t="str">
        <f t="shared" si="0"/>
        <v/>
      </c>
      <c r="M71" s="60" t="str">
        <f>IF(B71="","",IF(B71*2='Setup &amp; Summary'!$N$15,"midstation row!",""))</f>
        <v/>
      </c>
    </row>
    <row r="72" spans="1:13" x14ac:dyDescent="0.2">
      <c r="A72" s="69">
        <f t="shared" si="4"/>
        <v>63</v>
      </c>
      <c r="B72" s="57" t="str">
        <f>IF('Setup &amp; Summary'!$N$15&gt;A72,A!B71+1,"")</f>
        <v/>
      </c>
      <c r="C72" s="71"/>
      <c r="D72" s="72"/>
      <c r="E72" s="72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68" t="str">
        <f>IF(B72="","",IF(B72='Setup &amp; Summary'!$N$15,J72-H72,I73-$N$5))</f>
        <v/>
      </c>
      <c r="J72" s="22" t="str">
        <f>IF(B72="","",IF(B72='Setup &amp; Summary'!$N$15,INDEX(F!J:J,MATCH(MAX(F!B:B)/2,F!B:B)),I72+H72))</f>
        <v/>
      </c>
      <c r="K72" s="23" t="str">
        <f t="shared" si="0"/>
        <v/>
      </c>
      <c r="M72" s="60" t="str">
        <f>IF(B72="","",IF(B72*2='Setup &amp; Summary'!$N$15,"midstation row!",""))</f>
        <v/>
      </c>
    </row>
    <row r="73" spans="1:13" x14ac:dyDescent="0.2">
      <c r="A73" s="69">
        <f t="shared" si="4"/>
        <v>64</v>
      </c>
      <c r="B73" s="57" t="str">
        <f>IF('Setup &amp; Summary'!$N$15&gt;A73,A!B72+1,"")</f>
        <v/>
      </c>
      <c r="C73" s="71"/>
      <c r="D73" s="72"/>
      <c r="E73" s="72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68" t="str">
        <f>IF(B73="","",IF(B73='Setup &amp; Summary'!$N$15,J73-H73,I74-$N$5))</f>
        <v/>
      </c>
      <c r="J73" s="22" t="str">
        <f>IF(B73="","",IF(B73='Setup &amp; Summary'!$N$15,INDEX(F!J:J,MATCH(MAX(F!B:B)/2,F!B:B)),I73+H73))</f>
        <v/>
      </c>
      <c r="K73" s="23" t="str">
        <f t="shared" ref="K73:K108" si="5">IF(B73="","",J73*$N$7)</f>
        <v/>
      </c>
      <c r="M73" s="60" t="str">
        <f>IF(B73="","",IF(B73*2='Setup &amp; Summary'!$N$15,"midstation row!",""))</f>
        <v/>
      </c>
    </row>
    <row r="74" spans="1:13" x14ac:dyDescent="0.2">
      <c r="A74" s="69">
        <f t="shared" si="4"/>
        <v>65</v>
      </c>
      <c r="B74" s="57" t="str">
        <f>IF('Setup &amp; Summary'!$N$15&gt;A74,A!B73+1,"")</f>
        <v/>
      </c>
      <c r="C74" s="71"/>
      <c r="D74" s="72"/>
      <c r="E74" s="72"/>
      <c r="F74" s="25" t="str">
        <f t="shared" ref="F74:F108" si="6">IF(B74="","",AVERAGE(C74:E74))</f>
        <v/>
      </c>
      <c r="G74" s="21" t="str">
        <f t="shared" ref="G74:G108" si="7">IF(B74="","",F74-$F$9)</f>
        <v/>
      </c>
      <c r="H74" s="25" t="str">
        <f t="shared" ref="H74:H108" si="8">IF(B74="","",H73+G74)</f>
        <v/>
      </c>
      <c r="I74" s="68" t="str">
        <f>IF(B74="","",IF(B74='Setup &amp; Summary'!$N$15,J74-H74,I75-$N$5))</f>
        <v/>
      </c>
      <c r="J74" s="22" t="str">
        <f>IF(B74="","",IF(B74='Setup &amp; Summary'!$N$15,INDEX(F!J:J,MATCH(MAX(F!B:B)/2,F!B:B)),I74+H74))</f>
        <v/>
      </c>
      <c r="K74" s="23" t="str">
        <f t="shared" si="5"/>
        <v/>
      </c>
      <c r="M74" s="60" t="str">
        <f>IF(B74="","",IF(B74*2='Setup &amp; Summary'!$N$15,"midstation row!",""))</f>
        <v/>
      </c>
    </row>
    <row r="75" spans="1:13" x14ac:dyDescent="0.2">
      <c r="A75" s="69">
        <f t="shared" si="4"/>
        <v>66</v>
      </c>
      <c r="B75" s="57" t="str">
        <f>IF('Setup &amp; Summary'!$N$15&gt;A75,A!B74+1,"")</f>
        <v/>
      </c>
      <c r="C75" s="71"/>
      <c r="D75" s="72"/>
      <c r="E75" s="72"/>
      <c r="F75" s="25" t="str">
        <f t="shared" si="6"/>
        <v/>
      </c>
      <c r="G75" s="21" t="str">
        <f t="shared" si="7"/>
        <v/>
      </c>
      <c r="H75" s="25" t="str">
        <f t="shared" si="8"/>
        <v/>
      </c>
      <c r="I75" s="68" t="str">
        <f>IF(B75="","",IF(B75='Setup &amp; Summary'!$N$15,J75-H75,I76-$N$5))</f>
        <v/>
      </c>
      <c r="J75" s="22" t="str">
        <f>IF(B75="","",IF(B75='Setup &amp; Summary'!$N$15,INDEX(F!J:J,MATCH(MAX(F!B:B)/2,F!B:B)),I75+H75))</f>
        <v/>
      </c>
      <c r="K75" s="23" t="str">
        <f t="shared" si="5"/>
        <v/>
      </c>
      <c r="M75" s="60" t="str">
        <f>IF(B75="","",IF(B75*2='Setup &amp; Summary'!$N$15,"midstation row!",""))</f>
        <v/>
      </c>
    </row>
    <row r="76" spans="1:13" x14ac:dyDescent="0.2">
      <c r="A76" s="69">
        <f t="shared" ref="A76:A108" si="9">A75+1</f>
        <v>67</v>
      </c>
      <c r="B76" s="57" t="str">
        <f>IF('Setup &amp; Summary'!$N$15&gt;A76,A!B75+1,"")</f>
        <v/>
      </c>
      <c r="C76" s="71"/>
      <c r="D76" s="72"/>
      <c r="E76" s="72"/>
      <c r="F76" s="25" t="str">
        <f t="shared" si="6"/>
        <v/>
      </c>
      <c r="G76" s="21" t="str">
        <f t="shared" si="7"/>
        <v/>
      </c>
      <c r="H76" s="25" t="str">
        <f t="shared" si="8"/>
        <v/>
      </c>
      <c r="I76" s="68" t="str">
        <f>IF(B76="","",IF(B76='Setup &amp; Summary'!$N$15,J76-H76,I77-$N$5))</f>
        <v/>
      </c>
      <c r="J76" s="22" t="str">
        <f>IF(B76="","",IF(B76='Setup &amp; Summary'!$N$15,INDEX(F!J:J,MATCH(MAX(F!B:B)/2,F!B:B)),I76+H76))</f>
        <v/>
      </c>
      <c r="K76" s="23" t="str">
        <f t="shared" si="5"/>
        <v/>
      </c>
      <c r="M76" s="60" t="str">
        <f>IF(B76="","",IF(B76*2='Setup &amp; Summary'!$N$15,"midstation row!",""))</f>
        <v/>
      </c>
    </row>
    <row r="77" spans="1:13" x14ac:dyDescent="0.2">
      <c r="A77" s="69">
        <f t="shared" si="9"/>
        <v>68</v>
      </c>
      <c r="B77" s="57" t="str">
        <f>IF('Setup &amp; Summary'!$N$15&gt;A77,A!B76+1,"")</f>
        <v/>
      </c>
      <c r="C77" s="71"/>
      <c r="D77" s="72"/>
      <c r="E77" s="72"/>
      <c r="F77" s="25" t="str">
        <f t="shared" si="6"/>
        <v/>
      </c>
      <c r="G77" s="21" t="str">
        <f t="shared" si="7"/>
        <v/>
      </c>
      <c r="H77" s="25" t="str">
        <f t="shared" si="8"/>
        <v/>
      </c>
      <c r="I77" s="68" t="str">
        <f>IF(B77="","",IF(B77='Setup &amp; Summary'!$N$15,J77-H77,I78-$N$5))</f>
        <v/>
      </c>
      <c r="J77" s="22" t="str">
        <f>IF(B77="","",IF(B77='Setup &amp; Summary'!$N$15,INDEX(F!J:J,MATCH(MAX(F!B:B)/2,F!B:B)),I77+H77))</f>
        <v/>
      </c>
      <c r="K77" s="23" t="str">
        <f t="shared" si="5"/>
        <v/>
      </c>
      <c r="M77" s="60" t="str">
        <f>IF(B77="","",IF(B77*2='Setup &amp; Summary'!$N$15,"midstation row!",""))</f>
        <v/>
      </c>
    </row>
    <row r="78" spans="1:13" x14ac:dyDescent="0.2">
      <c r="A78" s="69">
        <f t="shared" si="9"/>
        <v>69</v>
      </c>
      <c r="B78" s="57" t="str">
        <f>IF('Setup &amp; Summary'!$N$15&gt;A78,A!B77+1,"")</f>
        <v/>
      </c>
      <c r="C78" s="71"/>
      <c r="D78" s="72"/>
      <c r="E78" s="72"/>
      <c r="F78" s="25" t="str">
        <f t="shared" si="6"/>
        <v/>
      </c>
      <c r="G78" s="21" t="str">
        <f t="shared" si="7"/>
        <v/>
      </c>
      <c r="H78" s="25" t="str">
        <f t="shared" si="8"/>
        <v/>
      </c>
      <c r="I78" s="68" t="str">
        <f>IF(B78="","",IF(B78='Setup &amp; Summary'!$N$15,J78-H78,I79-$N$5))</f>
        <v/>
      </c>
      <c r="J78" s="22" t="str">
        <f>IF(B78="","",IF(B78='Setup &amp; Summary'!$N$15,INDEX(F!J:J,MATCH(MAX(F!B:B)/2,F!B:B)),I78+H78))</f>
        <v/>
      </c>
      <c r="K78" s="23" t="str">
        <f t="shared" si="5"/>
        <v/>
      </c>
      <c r="M78" s="60" t="str">
        <f>IF(B78="","",IF(B78*2='Setup &amp; Summary'!$N$15,"midstation row!",""))</f>
        <v/>
      </c>
    </row>
    <row r="79" spans="1:13" x14ac:dyDescent="0.2">
      <c r="A79" s="69">
        <f t="shared" si="9"/>
        <v>70</v>
      </c>
      <c r="B79" s="57" t="str">
        <f>IF('Setup &amp; Summary'!$N$15&gt;A79,A!B78+1,"")</f>
        <v/>
      </c>
      <c r="C79" s="71"/>
      <c r="D79" s="72"/>
      <c r="E79" s="72"/>
      <c r="F79" s="25" t="str">
        <f t="shared" si="6"/>
        <v/>
      </c>
      <c r="G79" s="21" t="str">
        <f t="shared" si="7"/>
        <v/>
      </c>
      <c r="H79" s="25" t="str">
        <f t="shared" si="8"/>
        <v/>
      </c>
      <c r="I79" s="68" t="str">
        <f>IF(B79="","",IF(B79='Setup &amp; Summary'!$N$15,J79-H79,I80-$N$5))</f>
        <v/>
      </c>
      <c r="J79" s="22" t="str">
        <f>IF(B79="","",IF(B79='Setup &amp; Summary'!$N$15,INDEX(F!J:J,MATCH(MAX(F!B:B)/2,F!B:B)),I79+H79))</f>
        <v/>
      </c>
      <c r="K79" s="23" t="str">
        <f t="shared" si="5"/>
        <v/>
      </c>
      <c r="M79" s="60" t="str">
        <f>IF(B79="","",IF(B79*2='Setup &amp; Summary'!$N$15,"midstation row!",""))</f>
        <v/>
      </c>
    </row>
    <row r="80" spans="1:13" x14ac:dyDescent="0.2">
      <c r="A80" s="69">
        <f t="shared" si="9"/>
        <v>71</v>
      </c>
      <c r="B80" s="57" t="str">
        <f>IF('Setup &amp; Summary'!$N$15&gt;A80,A!B79+1,"")</f>
        <v/>
      </c>
      <c r="C80" s="71"/>
      <c r="D80" s="72"/>
      <c r="E80" s="72"/>
      <c r="F80" s="25" t="str">
        <f t="shared" si="6"/>
        <v/>
      </c>
      <c r="G80" s="21" t="str">
        <f t="shared" si="7"/>
        <v/>
      </c>
      <c r="H80" s="25" t="str">
        <f t="shared" si="8"/>
        <v/>
      </c>
      <c r="I80" s="68" t="str">
        <f>IF(B80="","",IF(B80='Setup &amp; Summary'!$N$15,J80-H80,I81-$N$5))</f>
        <v/>
      </c>
      <c r="J80" s="22" t="str">
        <f>IF(B80="","",IF(B80='Setup &amp; Summary'!$N$15,INDEX(F!J:J,MATCH(MAX(F!B:B)/2,F!B:B)),I80+H80))</f>
        <v/>
      </c>
      <c r="K80" s="23" t="str">
        <f t="shared" si="5"/>
        <v/>
      </c>
      <c r="M80" s="60" t="str">
        <f>IF(B80="","",IF(B80*2='Setup &amp; Summary'!$N$15,"midstation row!",""))</f>
        <v/>
      </c>
    </row>
    <row r="81" spans="1:13" x14ac:dyDescent="0.2">
      <c r="A81" s="69">
        <f t="shared" si="9"/>
        <v>72</v>
      </c>
      <c r="B81" s="57" t="str">
        <f>IF('Setup &amp; Summary'!$N$15&gt;A81,A!B80+1,"")</f>
        <v/>
      </c>
      <c r="C81" s="71"/>
      <c r="D81" s="72"/>
      <c r="E81" s="72"/>
      <c r="F81" s="25" t="str">
        <f t="shared" si="6"/>
        <v/>
      </c>
      <c r="G81" s="21" t="str">
        <f t="shared" si="7"/>
        <v/>
      </c>
      <c r="H81" s="25" t="str">
        <f t="shared" si="8"/>
        <v/>
      </c>
      <c r="I81" s="68" t="str">
        <f>IF(B81="","",IF(B81='Setup &amp; Summary'!$N$15,J81-H81,I82-$N$5))</f>
        <v/>
      </c>
      <c r="J81" s="22" t="str">
        <f>IF(B81="","",IF(B81='Setup &amp; Summary'!$N$15,INDEX(F!J:J,MATCH(MAX(F!B:B)/2,F!B:B)),I81+H81))</f>
        <v/>
      </c>
      <c r="K81" s="23" t="str">
        <f t="shared" si="5"/>
        <v/>
      </c>
      <c r="M81" s="60" t="str">
        <f>IF(B81="","",IF(B81*2='Setup &amp; Summary'!$N$15,"midstation row!",""))</f>
        <v/>
      </c>
    </row>
    <row r="82" spans="1:13" x14ac:dyDescent="0.2">
      <c r="A82" s="69">
        <f t="shared" si="9"/>
        <v>73</v>
      </c>
      <c r="B82" s="57" t="str">
        <f>IF('Setup &amp; Summary'!$N$15&gt;A82,A!B81+1,"")</f>
        <v/>
      </c>
      <c r="C82" s="71"/>
      <c r="D82" s="72"/>
      <c r="E82" s="72"/>
      <c r="F82" s="25" t="str">
        <f t="shared" si="6"/>
        <v/>
      </c>
      <c r="G82" s="21" t="str">
        <f t="shared" si="7"/>
        <v/>
      </c>
      <c r="H82" s="25" t="str">
        <f t="shared" si="8"/>
        <v/>
      </c>
      <c r="I82" s="68" t="str">
        <f>IF(B82="","",IF(B82='Setup &amp; Summary'!$N$15,J82-H82,I83-$N$5))</f>
        <v/>
      </c>
      <c r="J82" s="22" t="str">
        <f>IF(B82="","",IF(B82='Setup &amp; Summary'!$N$15,INDEX(F!J:J,MATCH(MAX(F!B:B)/2,F!B:B)),I82+H82))</f>
        <v/>
      </c>
      <c r="K82" s="23" t="str">
        <f t="shared" si="5"/>
        <v/>
      </c>
      <c r="M82" s="60" t="str">
        <f>IF(B82="","",IF(B82*2='Setup &amp; Summary'!$N$15,"midstation row!",""))</f>
        <v/>
      </c>
    </row>
    <row r="83" spans="1:13" x14ac:dyDescent="0.2">
      <c r="A83" s="69">
        <f t="shared" si="9"/>
        <v>74</v>
      </c>
      <c r="B83" s="57" t="str">
        <f>IF('Setup &amp; Summary'!$N$15&gt;A83,A!B82+1,"")</f>
        <v/>
      </c>
      <c r="C83" s="71"/>
      <c r="D83" s="72"/>
      <c r="E83" s="72"/>
      <c r="F83" s="25" t="str">
        <f t="shared" si="6"/>
        <v/>
      </c>
      <c r="G83" s="21" t="str">
        <f t="shared" si="7"/>
        <v/>
      </c>
      <c r="H83" s="25" t="str">
        <f t="shared" si="8"/>
        <v/>
      </c>
      <c r="I83" s="68" t="str">
        <f>IF(B83="","",IF(B83='Setup &amp; Summary'!$N$15,J83-H83,I84-$N$5))</f>
        <v/>
      </c>
      <c r="J83" s="22" t="str">
        <f>IF(B83="","",IF(B83='Setup &amp; Summary'!$N$15,INDEX(F!J:J,MATCH(MAX(F!B:B)/2,F!B:B)),I83+H83))</f>
        <v/>
      </c>
      <c r="K83" s="23" t="str">
        <f t="shared" si="5"/>
        <v/>
      </c>
      <c r="M83" s="60" t="str">
        <f>IF(B83="","",IF(B83*2='Setup &amp; Summary'!$N$15,"midstation row!",""))</f>
        <v/>
      </c>
    </row>
    <row r="84" spans="1:13" x14ac:dyDescent="0.2">
      <c r="A84" s="69">
        <f t="shared" si="9"/>
        <v>75</v>
      </c>
      <c r="B84" s="57" t="str">
        <f>IF('Setup &amp; Summary'!$N$15&gt;A84,A!B83+1,"")</f>
        <v/>
      </c>
      <c r="C84" s="71"/>
      <c r="D84" s="72"/>
      <c r="E84" s="72"/>
      <c r="F84" s="25" t="str">
        <f t="shared" si="6"/>
        <v/>
      </c>
      <c r="G84" s="21" t="str">
        <f t="shared" si="7"/>
        <v/>
      </c>
      <c r="H84" s="25" t="str">
        <f t="shared" si="8"/>
        <v/>
      </c>
      <c r="I84" s="68" t="str">
        <f>IF(B84="","",IF(B84='Setup &amp; Summary'!$N$15,J84-H84,I85-$N$5))</f>
        <v/>
      </c>
      <c r="J84" s="22" t="str">
        <f>IF(B84="","",IF(B84='Setup &amp; Summary'!$N$15,INDEX(F!J:J,MATCH(MAX(F!B:B)/2,F!B:B)),I84+H84))</f>
        <v/>
      </c>
      <c r="K84" s="23" t="str">
        <f t="shared" si="5"/>
        <v/>
      </c>
      <c r="M84" s="60" t="str">
        <f>IF(B84="","",IF(B84*2='Setup &amp; Summary'!$N$15,"midstation row!",""))</f>
        <v/>
      </c>
    </row>
    <row r="85" spans="1:13" x14ac:dyDescent="0.2">
      <c r="A85" s="69">
        <f t="shared" si="9"/>
        <v>76</v>
      </c>
      <c r="B85" s="57" t="str">
        <f>IF('Setup &amp; Summary'!$N$15&gt;A85,A!B84+1,"")</f>
        <v/>
      </c>
      <c r="C85" s="71"/>
      <c r="D85" s="72"/>
      <c r="E85" s="72"/>
      <c r="F85" s="25" t="str">
        <f t="shared" si="6"/>
        <v/>
      </c>
      <c r="G85" s="21" t="str">
        <f t="shared" si="7"/>
        <v/>
      </c>
      <c r="H85" s="25" t="str">
        <f t="shared" si="8"/>
        <v/>
      </c>
      <c r="I85" s="68" t="str">
        <f>IF(B85="","",IF(B85='Setup &amp; Summary'!$N$15,J85-H85,I86-$N$5))</f>
        <v/>
      </c>
      <c r="J85" s="22" t="str">
        <f>IF(B85="","",IF(B85='Setup &amp; Summary'!$N$15,INDEX(F!J:J,MATCH(MAX(F!B:B)/2,F!B:B)),I85+H85))</f>
        <v/>
      </c>
      <c r="K85" s="23" t="str">
        <f t="shared" si="5"/>
        <v/>
      </c>
      <c r="M85" s="60" t="str">
        <f>IF(B85="","",IF(B85*2='Setup &amp; Summary'!$N$15,"midstation row!",""))</f>
        <v/>
      </c>
    </row>
    <row r="86" spans="1:13" x14ac:dyDescent="0.2">
      <c r="A86" s="69">
        <f t="shared" si="9"/>
        <v>77</v>
      </c>
      <c r="B86" s="57" t="str">
        <f>IF('Setup &amp; Summary'!$N$15&gt;A86,A!B85+1,"")</f>
        <v/>
      </c>
      <c r="C86" s="71"/>
      <c r="D86" s="72"/>
      <c r="E86" s="72"/>
      <c r="F86" s="25" t="str">
        <f t="shared" si="6"/>
        <v/>
      </c>
      <c r="G86" s="21" t="str">
        <f t="shared" si="7"/>
        <v/>
      </c>
      <c r="H86" s="25" t="str">
        <f t="shared" si="8"/>
        <v/>
      </c>
      <c r="I86" s="68" t="str">
        <f>IF(B86="","",IF(B86='Setup &amp; Summary'!$N$15,J86-H86,I87-$N$5))</f>
        <v/>
      </c>
      <c r="J86" s="22" t="str">
        <f>IF(B86="","",IF(B86='Setup &amp; Summary'!$N$15,INDEX(F!J:J,MATCH(MAX(F!B:B)/2,F!B:B)),I86+H86))</f>
        <v/>
      </c>
      <c r="K86" s="23" t="str">
        <f t="shared" si="5"/>
        <v/>
      </c>
      <c r="M86" s="60" t="str">
        <f>IF(B86="","",IF(B86*2='Setup &amp; Summary'!$N$15,"midstation row!",""))</f>
        <v/>
      </c>
    </row>
    <row r="87" spans="1:13" x14ac:dyDescent="0.2">
      <c r="A87" s="69">
        <f t="shared" si="9"/>
        <v>78</v>
      </c>
      <c r="B87" s="57" t="str">
        <f>IF('Setup &amp; Summary'!$N$15&gt;A87,A!B86+1,"")</f>
        <v/>
      </c>
      <c r="C87" s="71"/>
      <c r="D87" s="72"/>
      <c r="E87" s="72"/>
      <c r="F87" s="25" t="str">
        <f t="shared" si="6"/>
        <v/>
      </c>
      <c r="G87" s="21" t="str">
        <f t="shared" si="7"/>
        <v/>
      </c>
      <c r="H87" s="25" t="str">
        <f t="shared" si="8"/>
        <v/>
      </c>
      <c r="I87" s="68" t="str">
        <f>IF(B87="","",IF(B87='Setup &amp; Summary'!$N$15,J87-H87,I88-$N$5))</f>
        <v/>
      </c>
      <c r="J87" s="22" t="str">
        <f>IF(B87="","",IF(B87='Setup &amp; Summary'!$N$15,INDEX(F!J:J,MATCH(MAX(F!B:B)/2,F!B:B)),I87+H87))</f>
        <v/>
      </c>
      <c r="K87" s="23" t="str">
        <f t="shared" si="5"/>
        <v/>
      </c>
      <c r="M87" s="60" t="str">
        <f>IF(B87="","",IF(B87*2='Setup &amp; Summary'!$N$15,"midstation row!",""))</f>
        <v/>
      </c>
    </row>
    <row r="88" spans="1:13" x14ac:dyDescent="0.2">
      <c r="A88" s="69">
        <f t="shared" si="9"/>
        <v>79</v>
      </c>
      <c r="B88" s="57" t="str">
        <f>IF('Setup &amp; Summary'!$N$15&gt;A88,A!B87+1,"")</f>
        <v/>
      </c>
      <c r="C88" s="71"/>
      <c r="D88" s="72"/>
      <c r="E88" s="72"/>
      <c r="F88" s="25" t="str">
        <f t="shared" si="6"/>
        <v/>
      </c>
      <c r="G88" s="21" t="str">
        <f t="shared" si="7"/>
        <v/>
      </c>
      <c r="H88" s="25" t="str">
        <f t="shared" si="8"/>
        <v/>
      </c>
      <c r="I88" s="68" t="str">
        <f>IF(B88="","",IF(B88='Setup &amp; Summary'!$N$15,J88-H88,I89-$N$5))</f>
        <v/>
      </c>
      <c r="J88" s="22" t="str">
        <f>IF(B88="","",IF(B88='Setup &amp; Summary'!$N$15,INDEX(F!J:J,MATCH(MAX(F!B:B)/2,F!B:B)),I88+H88))</f>
        <v/>
      </c>
      <c r="K88" s="23" t="str">
        <f t="shared" si="5"/>
        <v/>
      </c>
      <c r="M88" s="60" t="str">
        <f>IF(B88="","",IF(B88*2='Setup &amp; Summary'!$N$15,"midstation row!",""))</f>
        <v/>
      </c>
    </row>
    <row r="89" spans="1:13" x14ac:dyDescent="0.2">
      <c r="A89" s="69">
        <f t="shared" si="9"/>
        <v>80</v>
      </c>
      <c r="B89" s="57" t="str">
        <f>IF('Setup &amp; Summary'!$N$15&gt;A89,A!B88+1,"")</f>
        <v/>
      </c>
      <c r="C89" s="71"/>
      <c r="D89" s="72"/>
      <c r="E89" s="72"/>
      <c r="F89" s="25" t="str">
        <f t="shared" si="6"/>
        <v/>
      </c>
      <c r="G89" s="21" t="str">
        <f t="shared" si="7"/>
        <v/>
      </c>
      <c r="H89" s="25" t="str">
        <f t="shared" si="8"/>
        <v/>
      </c>
      <c r="I89" s="68" t="str">
        <f>IF(B89="","",IF(B89='Setup &amp; Summary'!$N$15,J89-H89,I90-$N$5))</f>
        <v/>
      </c>
      <c r="J89" s="22" t="str">
        <f>IF(B89="","",IF(B89='Setup &amp; Summary'!$N$15,INDEX(F!J:J,MATCH(MAX(F!B:B)/2,F!B:B)),I89+H89))</f>
        <v/>
      </c>
      <c r="K89" s="23" t="str">
        <f t="shared" si="5"/>
        <v/>
      </c>
      <c r="M89" s="60" t="str">
        <f>IF(B89="","",IF(B89*2='Setup &amp; Summary'!$N$15,"midstation row!",""))</f>
        <v/>
      </c>
    </row>
    <row r="90" spans="1:13" x14ac:dyDescent="0.2">
      <c r="A90" s="69">
        <f t="shared" si="9"/>
        <v>81</v>
      </c>
      <c r="B90" s="57" t="str">
        <f>IF('Setup &amp; Summary'!$N$15&gt;A90,A!B89+1,"")</f>
        <v/>
      </c>
      <c r="C90" s="71"/>
      <c r="D90" s="72"/>
      <c r="E90" s="72"/>
      <c r="F90" s="25" t="str">
        <f t="shared" si="6"/>
        <v/>
      </c>
      <c r="G90" s="21" t="str">
        <f t="shared" si="7"/>
        <v/>
      </c>
      <c r="H90" s="25" t="str">
        <f t="shared" si="8"/>
        <v/>
      </c>
      <c r="I90" s="68" t="str">
        <f>IF(B90="","",IF(B90='Setup &amp; Summary'!$N$15,J90-H90,I91-$N$5))</f>
        <v/>
      </c>
      <c r="J90" s="22" t="str">
        <f>IF(B90="","",IF(B90='Setup &amp; Summary'!$N$15,INDEX(F!J:J,MATCH(MAX(F!B:B)/2,F!B:B)),I90+H90))</f>
        <v/>
      </c>
      <c r="K90" s="23" t="str">
        <f t="shared" si="5"/>
        <v/>
      </c>
      <c r="M90" s="60" t="str">
        <f>IF(B90="","",IF(B90*2='Setup &amp; Summary'!$N$15,"midstation row!",""))</f>
        <v/>
      </c>
    </row>
    <row r="91" spans="1:13" x14ac:dyDescent="0.2">
      <c r="A91" s="69">
        <f t="shared" si="9"/>
        <v>82</v>
      </c>
      <c r="B91" s="57" t="str">
        <f>IF('Setup &amp; Summary'!$N$15&gt;A91,A!B90+1,"")</f>
        <v/>
      </c>
      <c r="C91" s="71"/>
      <c r="D91" s="72"/>
      <c r="E91" s="72"/>
      <c r="F91" s="25" t="str">
        <f t="shared" si="6"/>
        <v/>
      </c>
      <c r="G91" s="21" t="str">
        <f t="shared" si="7"/>
        <v/>
      </c>
      <c r="H91" s="25" t="str">
        <f t="shared" si="8"/>
        <v/>
      </c>
      <c r="I91" s="68" t="str">
        <f>IF(B91="","",IF(B91='Setup &amp; Summary'!$N$15,J91-H91,I92-$N$5))</f>
        <v/>
      </c>
      <c r="J91" s="22" t="str">
        <f>IF(B91="","",IF(B91='Setup &amp; Summary'!$N$15,INDEX(F!J:J,MATCH(MAX(F!B:B)/2,F!B:B)),I91+H91))</f>
        <v/>
      </c>
      <c r="K91" s="23" t="str">
        <f t="shared" si="5"/>
        <v/>
      </c>
      <c r="M91" s="60" t="str">
        <f>IF(B91="","",IF(B91*2='Setup &amp; Summary'!$N$15,"midstation row!",""))</f>
        <v/>
      </c>
    </row>
    <row r="92" spans="1:13" x14ac:dyDescent="0.2">
      <c r="A92" s="69">
        <f t="shared" si="9"/>
        <v>83</v>
      </c>
      <c r="B92" s="57" t="str">
        <f>IF('Setup &amp; Summary'!$N$15&gt;A92,A!B91+1,"")</f>
        <v/>
      </c>
      <c r="C92" s="71"/>
      <c r="D92" s="72"/>
      <c r="E92" s="72"/>
      <c r="F92" s="25" t="str">
        <f t="shared" si="6"/>
        <v/>
      </c>
      <c r="G92" s="21" t="str">
        <f t="shared" si="7"/>
        <v/>
      </c>
      <c r="H92" s="25" t="str">
        <f t="shared" si="8"/>
        <v/>
      </c>
      <c r="I92" s="68" t="str">
        <f>IF(B92="","",IF(B92='Setup &amp; Summary'!$N$15,J92-H92,I93-$N$5))</f>
        <v/>
      </c>
      <c r="J92" s="22" t="str">
        <f>IF(B92="","",IF(B92='Setup &amp; Summary'!$N$15,INDEX(F!J:J,MATCH(MAX(F!B:B)/2,F!B:B)),I92+H92))</f>
        <v/>
      </c>
      <c r="K92" s="23" t="str">
        <f t="shared" si="5"/>
        <v/>
      </c>
      <c r="M92" s="60" t="str">
        <f>IF(B92="","",IF(B92*2='Setup &amp; Summary'!$N$15,"midstation row!",""))</f>
        <v/>
      </c>
    </row>
    <row r="93" spans="1:13" x14ac:dyDescent="0.2">
      <c r="A93" s="69">
        <f t="shared" si="9"/>
        <v>84</v>
      </c>
      <c r="B93" s="57" t="str">
        <f>IF('Setup &amp; Summary'!$N$15&gt;A93,A!B92+1,"")</f>
        <v/>
      </c>
      <c r="C93" s="71"/>
      <c r="D93" s="72"/>
      <c r="E93" s="72"/>
      <c r="F93" s="25" t="str">
        <f t="shared" si="6"/>
        <v/>
      </c>
      <c r="G93" s="21" t="str">
        <f t="shared" si="7"/>
        <v/>
      </c>
      <c r="H93" s="25" t="str">
        <f t="shared" si="8"/>
        <v/>
      </c>
      <c r="I93" s="68" t="str">
        <f>IF(B93="","",IF(B93='Setup &amp; Summary'!$N$15,J93-H93,I94-$N$5))</f>
        <v/>
      </c>
      <c r="J93" s="22" t="str">
        <f>IF(B93="","",IF(B93='Setup &amp; Summary'!$N$15,INDEX(F!J:J,MATCH(MAX(F!B:B)/2,F!B:B)),I93+H93))</f>
        <v/>
      </c>
      <c r="K93" s="23" t="str">
        <f t="shared" si="5"/>
        <v/>
      </c>
      <c r="M93" s="60" t="str">
        <f>IF(B93="","",IF(B93*2='Setup &amp; Summary'!$N$15,"midstation row!",""))</f>
        <v/>
      </c>
    </row>
    <row r="94" spans="1:13" x14ac:dyDescent="0.2">
      <c r="A94" s="69">
        <f t="shared" si="9"/>
        <v>85</v>
      </c>
      <c r="B94" s="57" t="str">
        <f>IF('Setup &amp; Summary'!$N$15&gt;A94,A!B93+1,"")</f>
        <v/>
      </c>
      <c r="C94" s="71"/>
      <c r="D94" s="72"/>
      <c r="E94" s="72"/>
      <c r="F94" s="25" t="str">
        <f t="shared" si="6"/>
        <v/>
      </c>
      <c r="G94" s="21" t="str">
        <f t="shared" si="7"/>
        <v/>
      </c>
      <c r="H94" s="25" t="str">
        <f t="shared" si="8"/>
        <v/>
      </c>
      <c r="I94" s="68" t="str">
        <f>IF(B94="","",IF(B94='Setup &amp; Summary'!$N$15,J94-H94,I95-$N$5))</f>
        <v/>
      </c>
      <c r="J94" s="22" t="str">
        <f>IF(B94="","",IF(B94='Setup &amp; Summary'!$N$15,INDEX(F!J:J,MATCH(MAX(F!B:B)/2,F!B:B)),I94+H94))</f>
        <v/>
      </c>
      <c r="K94" s="23" t="str">
        <f t="shared" si="5"/>
        <v/>
      </c>
      <c r="M94" s="60" t="str">
        <f>IF(B94="","",IF(B94*2='Setup &amp; Summary'!$N$15,"midstation row!",""))</f>
        <v/>
      </c>
    </row>
    <row r="95" spans="1:13" x14ac:dyDescent="0.2">
      <c r="A95" s="69">
        <f t="shared" si="9"/>
        <v>86</v>
      </c>
      <c r="B95" s="57" t="str">
        <f>IF('Setup &amp; Summary'!$N$15&gt;A95,A!B94+1,"")</f>
        <v/>
      </c>
      <c r="C95" s="71"/>
      <c r="D95" s="72"/>
      <c r="E95" s="72"/>
      <c r="F95" s="25" t="str">
        <f t="shared" si="6"/>
        <v/>
      </c>
      <c r="G95" s="21" t="str">
        <f t="shared" si="7"/>
        <v/>
      </c>
      <c r="H95" s="25" t="str">
        <f t="shared" si="8"/>
        <v/>
      </c>
      <c r="I95" s="68" t="str">
        <f>IF(B95="","",IF(B95='Setup &amp; Summary'!$N$15,J95-H95,I96-$N$5))</f>
        <v/>
      </c>
      <c r="J95" s="22" t="str">
        <f>IF(B95="","",IF(B95='Setup &amp; Summary'!$N$15,INDEX(F!J:J,MATCH(MAX(F!B:B)/2,F!B:B)),I95+H95))</f>
        <v/>
      </c>
      <c r="K95" s="23" t="str">
        <f t="shared" si="5"/>
        <v/>
      </c>
      <c r="M95" s="60" t="str">
        <f>IF(B95="","",IF(B95*2='Setup &amp; Summary'!$N$15,"midstation row!",""))</f>
        <v/>
      </c>
    </row>
    <row r="96" spans="1:13" x14ac:dyDescent="0.2">
      <c r="A96" s="69">
        <f t="shared" si="9"/>
        <v>87</v>
      </c>
      <c r="B96" s="57" t="str">
        <f>IF('Setup &amp; Summary'!$N$15&gt;A96,A!B95+1,"")</f>
        <v/>
      </c>
      <c r="C96" s="71"/>
      <c r="D96" s="72"/>
      <c r="E96" s="72"/>
      <c r="F96" s="25" t="str">
        <f t="shared" si="6"/>
        <v/>
      </c>
      <c r="G96" s="21" t="str">
        <f t="shared" si="7"/>
        <v/>
      </c>
      <c r="H96" s="25" t="str">
        <f t="shared" si="8"/>
        <v/>
      </c>
      <c r="I96" s="68" t="str">
        <f>IF(B96="","",IF(B96='Setup &amp; Summary'!$N$15,J96-H96,I97-$N$5))</f>
        <v/>
      </c>
      <c r="J96" s="22" t="str">
        <f>IF(B96="","",IF(B96='Setup &amp; Summary'!$N$15,INDEX(F!J:J,MATCH(MAX(F!B:B)/2,F!B:B)),I96+H96))</f>
        <v/>
      </c>
      <c r="K96" s="23" t="str">
        <f t="shared" si="5"/>
        <v/>
      </c>
      <c r="M96" s="60" t="str">
        <f>IF(B96="","",IF(B96*2='Setup &amp; Summary'!$N$15,"midstation row!",""))</f>
        <v/>
      </c>
    </row>
    <row r="97" spans="1:13" x14ac:dyDescent="0.2">
      <c r="A97" s="69">
        <f t="shared" si="9"/>
        <v>88</v>
      </c>
      <c r="B97" s="57" t="str">
        <f>IF('Setup &amp; Summary'!$N$15&gt;A97,A!B96+1,"")</f>
        <v/>
      </c>
      <c r="C97" s="71"/>
      <c r="D97" s="72"/>
      <c r="E97" s="72"/>
      <c r="F97" s="25" t="str">
        <f t="shared" si="6"/>
        <v/>
      </c>
      <c r="G97" s="21" t="str">
        <f t="shared" si="7"/>
        <v/>
      </c>
      <c r="H97" s="25" t="str">
        <f t="shared" si="8"/>
        <v/>
      </c>
      <c r="I97" s="68" t="str">
        <f>IF(B97="","",IF(B97='Setup &amp; Summary'!$N$15,J97-H97,I98-$N$5))</f>
        <v/>
      </c>
      <c r="J97" s="22" t="str">
        <f>IF(B97="","",IF(B97='Setup &amp; Summary'!$N$15,INDEX(F!J:J,MATCH(MAX(F!B:B)/2,F!B:B)),I97+H97))</f>
        <v/>
      </c>
      <c r="K97" s="23" t="str">
        <f t="shared" si="5"/>
        <v/>
      </c>
      <c r="M97" s="60" t="str">
        <f>IF(B97="","",IF(B97*2='Setup &amp; Summary'!$N$15,"midstation row!",""))</f>
        <v/>
      </c>
    </row>
    <row r="98" spans="1:13" x14ac:dyDescent="0.2">
      <c r="A98" s="69">
        <f t="shared" si="9"/>
        <v>89</v>
      </c>
      <c r="B98" s="57" t="str">
        <f>IF('Setup &amp; Summary'!$N$15&gt;A98,A!B97+1,"")</f>
        <v/>
      </c>
      <c r="C98" s="71"/>
      <c r="D98" s="72"/>
      <c r="E98" s="72"/>
      <c r="F98" s="25" t="str">
        <f t="shared" si="6"/>
        <v/>
      </c>
      <c r="G98" s="21" t="str">
        <f t="shared" si="7"/>
        <v/>
      </c>
      <c r="H98" s="25" t="str">
        <f t="shared" si="8"/>
        <v/>
      </c>
      <c r="I98" s="68" t="str">
        <f>IF(B98="","",IF(B98='Setup &amp; Summary'!$N$15,J98-H98,I99-$N$5))</f>
        <v/>
      </c>
      <c r="J98" s="22" t="str">
        <f>IF(B98="","",IF(B98='Setup &amp; Summary'!$N$15,INDEX(F!J:J,MATCH(MAX(F!B:B)/2,F!B:B)),I98+H98))</f>
        <v/>
      </c>
      <c r="K98" s="23" t="str">
        <f t="shared" si="5"/>
        <v/>
      </c>
      <c r="M98" s="60" t="str">
        <f>IF(B98="","",IF(B98*2='Setup &amp; Summary'!$N$15,"midstation row!",""))</f>
        <v/>
      </c>
    </row>
    <row r="99" spans="1:13" x14ac:dyDescent="0.2">
      <c r="A99" s="69">
        <f t="shared" si="9"/>
        <v>90</v>
      </c>
      <c r="B99" s="57" t="str">
        <f>IF('Setup &amp; Summary'!$N$15&gt;A99,A!B98+1,"")</f>
        <v/>
      </c>
      <c r="C99" s="71"/>
      <c r="D99" s="72"/>
      <c r="E99" s="72"/>
      <c r="F99" s="25" t="str">
        <f t="shared" si="6"/>
        <v/>
      </c>
      <c r="G99" s="21" t="str">
        <f t="shared" si="7"/>
        <v/>
      </c>
      <c r="H99" s="25" t="str">
        <f t="shared" si="8"/>
        <v/>
      </c>
      <c r="I99" s="68" t="str">
        <f>IF(B99="","",IF(B99='Setup &amp; Summary'!$N$15,J99-H99,I100-$N$5))</f>
        <v/>
      </c>
      <c r="J99" s="22" t="str">
        <f>IF(B99="","",IF(B99='Setup &amp; Summary'!$N$15,INDEX(F!J:J,MATCH(MAX(F!B:B)/2,F!B:B)),I99+H99))</f>
        <v/>
      </c>
      <c r="K99" s="23" t="str">
        <f t="shared" si="5"/>
        <v/>
      </c>
      <c r="M99" s="60" t="str">
        <f>IF(B99="","",IF(B99*2='Setup &amp; Summary'!$N$15,"midstation row!",""))</f>
        <v/>
      </c>
    </row>
    <row r="100" spans="1:13" x14ac:dyDescent="0.2">
      <c r="A100" s="69">
        <f t="shared" si="9"/>
        <v>91</v>
      </c>
      <c r="B100" s="57" t="str">
        <f>IF('Setup &amp; Summary'!$N$15&gt;A100,A!B99+1,"")</f>
        <v/>
      </c>
      <c r="C100" s="71"/>
      <c r="D100" s="72"/>
      <c r="E100" s="72"/>
      <c r="F100" s="25" t="str">
        <f t="shared" si="6"/>
        <v/>
      </c>
      <c r="G100" s="21" t="str">
        <f t="shared" si="7"/>
        <v/>
      </c>
      <c r="H100" s="25" t="str">
        <f t="shared" si="8"/>
        <v/>
      </c>
      <c r="I100" s="68" t="str">
        <f>IF(B100="","",IF(B100='Setup &amp; Summary'!$N$15,J100-H100,I101-$N$5))</f>
        <v/>
      </c>
      <c r="J100" s="22" t="str">
        <f>IF(B100="","",IF(B100='Setup &amp; Summary'!$N$15,INDEX(F!J:J,MATCH(MAX(F!B:B)/2,F!B:B)),I100+H100))</f>
        <v/>
      </c>
      <c r="K100" s="23" t="str">
        <f t="shared" si="5"/>
        <v/>
      </c>
      <c r="M100" s="60" t="str">
        <f>IF(B100="","",IF(B100*2='Setup &amp; Summary'!$N$15,"midstation row!",""))</f>
        <v/>
      </c>
    </row>
    <row r="101" spans="1:13" x14ac:dyDescent="0.2">
      <c r="A101" s="69">
        <f t="shared" si="9"/>
        <v>92</v>
      </c>
      <c r="B101" s="57" t="str">
        <f>IF('Setup &amp; Summary'!$N$15&gt;A101,A!B100+1,"")</f>
        <v/>
      </c>
      <c r="C101" s="71"/>
      <c r="D101" s="72"/>
      <c r="E101" s="72"/>
      <c r="F101" s="25" t="str">
        <f t="shared" si="6"/>
        <v/>
      </c>
      <c r="G101" s="21" t="str">
        <f t="shared" si="7"/>
        <v/>
      </c>
      <c r="H101" s="25" t="str">
        <f t="shared" si="8"/>
        <v/>
      </c>
      <c r="I101" s="68" t="str">
        <f>IF(B101="","",IF(B101='Setup &amp; Summary'!$N$15,J101-H101,I102-$N$5))</f>
        <v/>
      </c>
      <c r="J101" s="22" t="str">
        <f>IF(B101="","",IF(B101='Setup &amp; Summary'!$N$15,INDEX(F!J:J,MATCH(MAX(F!B:B)/2,F!B:B)),I101+H101))</f>
        <v/>
      </c>
      <c r="K101" s="23" t="str">
        <f t="shared" si="5"/>
        <v/>
      </c>
      <c r="M101" s="60" t="str">
        <f>IF(B101="","",IF(B101*2='Setup &amp; Summary'!$N$15,"midstation row!",""))</f>
        <v/>
      </c>
    </row>
    <row r="102" spans="1:13" x14ac:dyDescent="0.2">
      <c r="A102" s="69">
        <f t="shared" si="9"/>
        <v>93</v>
      </c>
      <c r="B102" s="57" t="str">
        <f>IF('Setup &amp; Summary'!$N$15&gt;A102,A!B101+1,"")</f>
        <v/>
      </c>
      <c r="C102" s="71"/>
      <c r="D102" s="72"/>
      <c r="E102" s="72"/>
      <c r="F102" s="25" t="str">
        <f t="shared" si="6"/>
        <v/>
      </c>
      <c r="G102" s="21" t="str">
        <f t="shared" si="7"/>
        <v/>
      </c>
      <c r="H102" s="25" t="str">
        <f t="shared" si="8"/>
        <v/>
      </c>
      <c r="I102" s="68" t="str">
        <f>IF(B102="","",IF(B102='Setup &amp; Summary'!$N$15,J102-H102,I103-$N$5))</f>
        <v/>
      </c>
      <c r="J102" s="22" t="str">
        <f>IF(B102="","",IF(B102='Setup &amp; Summary'!$N$15,INDEX(F!J:J,MATCH(MAX(F!B:B)/2,F!B:B)),I102+H102))</f>
        <v/>
      </c>
      <c r="K102" s="23" t="str">
        <f t="shared" si="5"/>
        <v/>
      </c>
      <c r="M102" s="60" t="str">
        <f>IF(B102="","",IF(B102*2='Setup &amp; Summary'!$N$15,"midstation row!",""))</f>
        <v/>
      </c>
    </row>
    <row r="103" spans="1:13" x14ac:dyDescent="0.2">
      <c r="A103" s="69">
        <f t="shared" si="9"/>
        <v>94</v>
      </c>
      <c r="B103" s="57" t="str">
        <f>IF('Setup &amp; Summary'!$N$15&gt;A103,A!B102+1,"")</f>
        <v/>
      </c>
      <c r="C103" s="71"/>
      <c r="D103" s="72"/>
      <c r="E103" s="72"/>
      <c r="F103" s="25" t="str">
        <f t="shared" si="6"/>
        <v/>
      </c>
      <c r="G103" s="21" t="str">
        <f t="shared" si="7"/>
        <v/>
      </c>
      <c r="H103" s="25" t="str">
        <f t="shared" si="8"/>
        <v/>
      </c>
      <c r="I103" s="68" t="str">
        <f>IF(B103="","",IF(B103='Setup &amp; Summary'!$N$15,J103-H103,I104-$N$5))</f>
        <v/>
      </c>
      <c r="J103" s="22" t="str">
        <f>IF(B103="","",IF(B103='Setup &amp; Summary'!$N$15,INDEX(F!J:J,MATCH(MAX(F!B:B)/2,F!B:B)),I103+H103))</f>
        <v/>
      </c>
      <c r="K103" s="23" t="str">
        <f t="shared" si="5"/>
        <v/>
      </c>
      <c r="M103" s="60" t="str">
        <f>IF(B103="","",IF(B103*2='Setup &amp; Summary'!$N$15,"midstation row!",""))</f>
        <v/>
      </c>
    </row>
    <row r="104" spans="1:13" x14ac:dyDescent="0.2">
      <c r="A104" s="69">
        <f t="shared" si="9"/>
        <v>95</v>
      </c>
      <c r="B104" s="57" t="str">
        <f>IF('Setup &amp; Summary'!$N$15&gt;A104,A!B103+1,"")</f>
        <v/>
      </c>
      <c r="C104" s="71"/>
      <c r="D104" s="72"/>
      <c r="E104" s="72"/>
      <c r="F104" s="25" t="str">
        <f t="shared" si="6"/>
        <v/>
      </c>
      <c r="G104" s="21" t="str">
        <f t="shared" si="7"/>
        <v/>
      </c>
      <c r="H104" s="25" t="str">
        <f t="shared" si="8"/>
        <v/>
      </c>
      <c r="I104" s="68" t="str">
        <f>IF(B104="","",IF(B104='Setup &amp; Summary'!$N$15,J104-H104,I105-$N$5))</f>
        <v/>
      </c>
      <c r="J104" s="22" t="str">
        <f>IF(B104="","",IF(B104='Setup &amp; Summary'!$N$15,INDEX(F!J:J,MATCH(MAX(F!B:B)/2,F!B:B)),I104+H104))</f>
        <v/>
      </c>
      <c r="K104" s="23" t="str">
        <f t="shared" si="5"/>
        <v/>
      </c>
      <c r="M104" s="60" t="str">
        <f>IF(B104="","",IF(B104*2='Setup &amp; Summary'!$N$15,"midstation row!",""))</f>
        <v/>
      </c>
    </row>
    <row r="105" spans="1:13" x14ac:dyDescent="0.2">
      <c r="A105" s="69">
        <f t="shared" si="9"/>
        <v>96</v>
      </c>
      <c r="B105" s="57" t="str">
        <f>IF('Setup &amp; Summary'!$N$15&gt;A105,A!B104+1,"")</f>
        <v/>
      </c>
      <c r="C105" s="71"/>
      <c r="D105" s="72"/>
      <c r="E105" s="72"/>
      <c r="F105" s="25" t="str">
        <f t="shared" si="6"/>
        <v/>
      </c>
      <c r="G105" s="21" t="str">
        <f t="shared" si="7"/>
        <v/>
      </c>
      <c r="H105" s="25" t="str">
        <f t="shared" si="8"/>
        <v/>
      </c>
      <c r="I105" s="68" t="str">
        <f>IF(B105="","",IF(B105='Setup &amp; Summary'!$N$15,J105-H105,I106-$N$5))</f>
        <v/>
      </c>
      <c r="J105" s="22" t="str">
        <f>IF(B105="","",IF(B105='Setup &amp; Summary'!$N$15,INDEX(F!J:J,MATCH(MAX(F!B:B)/2,F!B:B)),I105+H105))</f>
        <v/>
      </c>
      <c r="K105" s="23" t="str">
        <f t="shared" si="5"/>
        <v/>
      </c>
      <c r="M105" s="60" t="str">
        <f>IF(B105="","",IF(B105*2='Setup &amp; Summary'!$N$15,"midstation row!",""))</f>
        <v/>
      </c>
    </row>
    <row r="106" spans="1:13" x14ac:dyDescent="0.2">
      <c r="A106" s="69">
        <f t="shared" si="9"/>
        <v>97</v>
      </c>
      <c r="B106" s="57" t="str">
        <f>IF('Setup &amp; Summary'!$N$15&gt;A106,A!B105+1,"")</f>
        <v/>
      </c>
      <c r="C106" s="71"/>
      <c r="D106" s="72"/>
      <c r="E106" s="72"/>
      <c r="F106" s="25" t="str">
        <f t="shared" si="6"/>
        <v/>
      </c>
      <c r="G106" s="21" t="str">
        <f t="shared" si="7"/>
        <v/>
      </c>
      <c r="H106" s="25" t="str">
        <f t="shared" si="8"/>
        <v/>
      </c>
      <c r="I106" s="68" t="str">
        <f>IF(B106="","",IF(B106='Setup &amp; Summary'!$N$15,J106-H106,I107-$N$5))</f>
        <v/>
      </c>
      <c r="J106" s="22" t="str">
        <f>IF(B106="","",IF(B106='Setup &amp; Summary'!$N$15,INDEX(F!J:J,MATCH(MAX(F!B:B)/2,F!B:B)),I106+H106))</f>
        <v/>
      </c>
      <c r="K106" s="23" t="str">
        <f t="shared" si="5"/>
        <v/>
      </c>
      <c r="M106" s="60" t="str">
        <f>IF(B106="","",IF(B106*2='Setup &amp; Summary'!$N$15,"midstation row!",""))</f>
        <v/>
      </c>
    </row>
    <row r="107" spans="1:13" x14ac:dyDescent="0.2">
      <c r="A107" s="69">
        <f t="shared" si="9"/>
        <v>98</v>
      </c>
      <c r="B107" s="57" t="str">
        <f>IF('Setup &amp; Summary'!$N$15&gt;A107,A!B106+1,"")</f>
        <v/>
      </c>
      <c r="C107" s="71"/>
      <c r="D107" s="72"/>
      <c r="E107" s="72"/>
      <c r="F107" s="25" t="str">
        <f t="shared" si="6"/>
        <v/>
      </c>
      <c r="G107" s="21" t="str">
        <f t="shared" si="7"/>
        <v/>
      </c>
      <c r="H107" s="25" t="str">
        <f t="shared" si="8"/>
        <v/>
      </c>
      <c r="I107" s="68" t="str">
        <f>IF(B107="","",IF(B107='Setup &amp; Summary'!$N$15,J107-H107,I108-$N$5))</f>
        <v/>
      </c>
      <c r="J107" s="22" t="str">
        <f>IF(B107="","",IF(B107='Setup &amp; Summary'!$N$15,INDEX(F!J:J,MATCH(MAX(F!B:B)/2,F!B:B)),I107+H107))</f>
        <v/>
      </c>
      <c r="K107" s="23" t="str">
        <f t="shared" si="5"/>
        <v/>
      </c>
      <c r="M107" s="60" t="str">
        <f>IF(B107="","",IF(B107*2='Setup &amp; Summary'!$N$15,"midstation row!",""))</f>
        <v/>
      </c>
    </row>
    <row r="108" spans="1:13" x14ac:dyDescent="0.2">
      <c r="A108" s="69">
        <f t="shared" si="9"/>
        <v>99</v>
      </c>
      <c r="B108" s="57" t="str">
        <f>IF('Setup &amp; Summary'!$N$15&gt;A108,A!B107+1,"")</f>
        <v/>
      </c>
      <c r="C108" s="71"/>
      <c r="D108" s="72"/>
      <c r="E108" s="72"/>
      <c r="F108" s="25" t="str">
        <f t="shared" si="6"/>
        <v/>
      </c>
      <c r="G108" s="21" t="str">
        <f t="shared" si="7"/>
        <v/>
      </c>
      <c r="H108" s="25" t="str">
        <f t="shared" si="8"/>
        <v/>
      </c>
      <c r="I108" s="68" t="str">
        <f>IF(B108="","",IF(B108='Setup &amp; Summary'!$N$15,J108-H108,I109-$N$5))</f>
        <v/>
      </c>
      <c r="J108" s="22" t="str">
        <f>IF(B108="","",IF(B108='Setup &amp; Summary'!$N$15,INDEX(F!J:J,MATCH(MAX(F!B:B)/2,F!B:B)),I108+H108))</f>
        <v/>
      </c>
      <c r="K108" s="23" t="str">
        <f t="shared" si="5"/>
        <v/>
      </c>
      <c r="M108" s="60" t="str">
        <f>IF(B108="","",IF(B108*2='Setup &amp; Summary'!$N$15,"midstation row!",""))</f>
        <v/>
      </c>
    </row>
  </sheetData>
  <sheetProtection sheet="1" objects="1" scenarios="1" selectLockedCells="1"/>
  <phoneticPr fontId="0" type="noConversion"/>
  <conditionalFormatting sqref="M10:M108">
    <cfRule type="cellIs" dxfId="11" priority="7" operator="equal">
      <formula>""</formula>
    </cfRule>
    <cfRule type="cellIs" dxfId="10" priority="8" operator="equal">
      <formula>"Midstation Row!"</formula>
    </cfRule>
  </conditionalFormatting>
  <conditionalFormatting sqref="L32:M108 J1:K3 B10:B108 L10:M28 M21:M108 F10:I108">
    <cfRule type="cellIs" dxfId="9" priority="6" operator="equal">
      <formula>""</formula>
    </cfRule>
  </conditionalFormatting>
  <conditionalFormatting sqref="J10:K109">
    <cfRule type="cellIs" dxfId="8" priority="5" operator="equal">
      <formula>""</formula>
    </cfRule>
  </conditionalFormatting>
  <conditionalFormatting sqref="C9:E9">
    <cfRule type="expression" dxfId="7" priority="4">
      <formula>$B9=""</formula>
    </cfRule>
  </conditionalFormatting>
  <conditionalFormatting sqref="C10:E108">
    <cfRule type="expression" dxfId="6" priority="3">
      <formula>$B10=""</formula>
    </cfRule>
  </conditionalFormatting>
  <conditionalFormatting sqref="I10">
    <cfRule type="expression" dxfId="5" priority="2">
      <formula>$M10="Midstation Row!"</formula>
    </cfRule>
  </conditionalFormatting>
  <conditionalFormatting sqref="I10:I108">
    <cfRule type="expression" dxfId="4" priority="1">
      <formula>$M10="Midstation Row!"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39"/>
  <sheetViews>
    <sheetView workbookViewId="0">
      <selection activeCell="C17" sqref="C17"/>
    </sheetView>
  </sheetViews>
  <sheetFormatPr defaultRowHeight="12.75" x14ac:dyDescent="0.2"/>
  <cols>
    <col min="1" max="1" width="4.28515625" style="32" bestFit="1" customWidth="1"/>
    <col min="2" max="2" width="4" style="32" bestFit="1" customWidth="1"/>
    <col min="3" max="3" width="5.140625" style="32" customWidth="1"/>
    <col min="4" max="4" width="3.85546875" style="40" bestFit="1" customWidth="1"/>
    <col min="5" max="5" width="2.85546875" customWidth="1"/>
    <col min="6" max="6" width="4.140625" customWidth="1"/>
    <col min="7" max="7" width="5" customWidth="1"/>
    <col min="8" max="8" width="5.7109375" style="44" bestFit="1" customWidth="1"/>
    <col min="9" max="9" width="10" style="45" bestFit="1" customWidth="1"/>
    <col min="10" max="13" width="9.140625" style="44"/>
  </cols>
  <sheetData>
    <row r="1" spans="1:13" x14ac:dyDescent="0.2">
      <c r="A1" s="113" t="s">
        <v>53</v>
      </c>
      <c r="B1" s="114"/>
      <c r="C1" s="113" t="s">
        <v>54</v>
      </c>
      <c r="D1" s="114"/>
      <c r="F1" s="90"/>
      <c r="G1" s="90"/>
      <c r="H1" s="90"/>
      <c r="I1" s="90"/>
      <c r="J1" s="91" t="s">
        <v>73</v>
      </c>
    </row>
    <row r="2" spans="1:13" x14ac:dyDescent="0.2">
      <c r="A2" s="32" t="s">
        <v>40</v>
      </c>
      <c r="B2" s="32" t="s">
        <v>41</v>
      </c>
      <c r="C2" s="32" t="s">
        <v>42</v>
      </c>
      <c r="D2" s="40" t="s">
        <v>43</v>
      </c>
      <c r="F2" s="46" t="s">
        <v>51</v>
      </c>
      <c r="G2" s="46" t="s">
        <v>52</v>
      </c>
      <c r="H2" s="44" t="s">
        <v>50</v>
      </c>
      <c r="J2" s="92" t="s">
        <v>74</v>
      </c>
      <c r="K2" s="92" t="s">
        <v>11</v>
      </c>
      <c r="L2" s="92" t="s">
        <v>12</v>
      </c>
      <c r="M2" s="92" t="s">
        <v>17</v>
      </c>
    </row>
    <row r="3" spans="1:13" x14ac:dyDescent="0.2">
      <c r="A3" s="32">
        <v>12</v>
      </c>
      <c r="B3" s="32">
        <v>12</v>
      </c>
      <c r="C3" s="42">
        <v>1</v>
      </c>
      <c r="D3" s="42">
        <v>1</v>
      </c>
      <c r="F3">
        <f>INT(((A3-D3*2)/'Setup &amp; Summary'!N$16)/2+0.5)*2</f>
        <v>6</v>
      </c>
      <c r="G3">
        <f>INT(((B3-C3*2)/'Setup &amp; Summary'!N$16)/2+0.5)*2</f>
        <v>6</v>
      </c>
      <c r="H3" s="44">
        <f>IF(MOD(J3/2,4)=0,J3/4,IF(MOD(J3/2,4)&gt;2,TRUNC(J3/4,0)+1,TRUNC(J3/4,0)))</f>
        <v>12</v>
      </c>
      <c r="I3" s="43"/>
      <c r="J3" s="44">
        <v>50</v>
      </c>
      <c r="K3" s="44">
        <f t="shared" ref="K3:M22" si="0">J3*2</f>
        <v>100</v>
      </c>
      <c r="L3" s="44">
        <f t="shared" si="0"/>
        <v>200</v>
      </c>
      <c r="M3" s="44">
        <f t="shared" si="0"/>
        <v>400</v>
      </c>
    </row>
    <row r="4" spans="1:13" x14ac:dyDescent="0.2">
      <c r="A4" s="32">
        <v>12</v>
      </c>
      <c r="B4" s="32">
        <v>18</v>
      </c>
      <c r="C4" s="42">
        <v>1</v>
      </c>
      <c r="D4" s="42">
        <v>1</v>
      </c>
      <c r="F4">
        <f>INT(((A4-D4*2)/'Setup &amp; Summary'!N$16)/2+0.5)*2</f>
        <v>6</v>
      </c>
      <c r="G4">
        <f>INT(((B4-C4*2)/'Setup &amp; Summary'!N$16)/2+0.5)*2</f>
        <v>8</v>
      </c>
      <c r="H4" s="44">
        <f t="shared" ref="H4:H38" si="1">IF(MOD(J4/2,4)=0,J4/4,IF(MOD(J4/2,4)&gt;2,TRUNC(J4/4,0)+1,TRUNC(J4/4,0)))</f>
        <v>12</v>
      </c>
      <c r="I4" s="43"/>
      <c r="J4" s="44">
        <v>50</v>
      </c>
      <c r="K4" s="44">
        <f t="shared" si="0"/>
        <v>100</v>
      </c>
      <c r="L4" s="44">
        <f t="shared" si="0"/>
        <v>200</v>
      </c>
      <c r="M4" s="44">
        <f t="shared" si="0"/>
        <v>400</v>
      </c>
    </row>
    <row r="5" spans="1:13" x14ac:dyDescent="0.2">
      <c r="A5" s="32">
        <v>18</v>
      </c>
      <c r="B5" s="32">
        <v>18</v>
      </c>
      <c r="C5" s="42">
        <v>1</v>
      </c>
      <c r="D5" s="42">
        <v>1</v>
      </c>
      <c r="F5">
        <f>INT(((A5-D5*2)/'Setup &amp; Summary'!N$16)/2+0.5)*2</f>
        <v>8</v>
      </c>
      <c r="G5">
        <f>INT(((B5-C5*2)/'Setup &amp; Summary'!N$16)/2+0.5)*2</f>
        <v>8</v>
      </c>
      <c r="H5" s="44">
        <f t="shared" si="1"/>
        <v>12</v>
      </c>
      <c r="I5" s="43"/>
      <c r="J5" s="44">
        <v>50</v>
      </c>
      <c r="K5" s="44">
        <f t="shared" si="0"/>
        <v>100</v>
      </c>
      <c r="L5" s="44">
        <f t="shared" si="0"/>
        <v>200</v>
      </c>
      <c r="M5" s="44">
        <f t="shared" si="0"/>
        <v>400</v>
      </c>
    </row>
    <row r="6" spans="1:13" x14ac:dyDescent="0.2">
      <c r="A6" s="32">
        <v>18</v>
      </c>
      <c r="B6" s="32">
        <v>24</v>
      </c>
      <c r="C6" s="42">
        <v>1</v>
      </c>
      <c r="D6" s="42">
        <v>1</v>
      </c>
      <c r="F6">
        <f>INT(((A6-D6*2)/'Setup &amp; Summary'!N$16)/2+0.5)*2</f>
        <v>8</v>
      </c>
      <c r="G6">
        <f>INT(((B6-C6*2)/'Setup &amp; Summary'!N$16)/2+0.5)*2</f>
        <v>12</v>
      </c>
      <c r="H6" s="44">
        <f t="shared" si="1"/>
        <v>18</v>
      </c>
      <c r="I6" s="43"/>
      <c r="J6" s="44">
        <v>75</v>
      </c>
      <c r="K6" s="44">
        <f t="shared" si="0"/>
        <v>150</v>
      </c>
      <c r="L6" s="44">
        <f t="shared" si="0"/>
        <v>300</v>
      </c>
      <c r="M6" s="44">
        <f t="shared" si="0"/>
        <v>600</v>
      </c>
    </row>
    <row r="7" spans="1:13" x14ac:dyDescent="0.2">
      <c r="A7" s="32">
        <v>20</v>
      </c>
      <c r="B7" s="32">
        <v>30</v>
      </c>
      <c r="C7" s="42">
        <v>1</v>
      </c>
      <c r="D7" s="42">
        <v>1</v>
      </c>
      <c r="F7">
        <f>INT(((A7-D7*2)/'Setup &amp; Summary'!N$16)/2+0.5)*2</f>
        <v>10</v>
      </c>
      <c r="G7">
        <f>INT(((B7-C7*2)/'Setup &amp; Summary'!N$16)/2+0.5)*2</f>
        <v>14</v>
      </c>
      <c r="H7" s="44">
        <f t="shared" si="1"/>
        <v>25</v>
      </c>
      <c r="I7" s="43"/>
      <c r="J7" s="44">
        <v>100</v>
      </c>
      <c r="K7" s="44">
        <f t="shared" si="0"/>
        <v>200</v>
      </c>
      <c r="L7" s="44">
        <f t="shared" si="0"/>
        <v>400</v>
      </c>
      <c r="M7" s="44">
        <f t="shared" si="0"/>
        <v>800</v>
      </c>
    </row>
    <row r="8" spans="1:13" x14ac:dyDescent="0.2">
      <c r="A8" s="32">
        <v>24</v>
      </c>
      <c r="B8" s="32">
        <v>24</v>
      </c>
      <c r="C8" s="42">
        <v>1</v>
      </c>
      <c r="D8" s="42">
        <v>1</v>
      </c>
      <c r="F8">
        <f>INT(((A8-D8*2)/'Setup &amp; Summary'!N$16)/2+0.5)*2</f>
        <v>12</v>
      </c>
      <c r="G8">
        <f>INT(((B8-C8*2)/'Setup &amp; Summary'!N$16)/2+0.5)*2</f>
        <v>12</v>
      </c>
      <c r="H8" s="44">
        <f t="shared" si="1"/>
        <v>18</v>
      </c>
      <c r="I8" s="43"/>
      <c r="J8" s="44">
        <v>75</v>
      </c>
      <c r="K8" s="44">
        <f t="shared" si="0"/>
        <v>150</v>
      </c>
      <c r="L8" s="44">
        <f t="shared" si="0"/>
        <v>300</v>
      </c>
      <c r="M8" s="44">
        <f t="shared" si="0"/>
        <v>600</v>
      </c>
    </row>
    <row r="9" spans="1:13" x14ac:dyDescent="0.2">
      <c r="A9" s="32">
        <v>24</v>
      </c>
      <c r="B9" s="32">
        <v>36</v>
      </c>
      <c r="C9" s="42">
        <v>1</v>
      </c>
      <c r="D9" s="42">
        <v>1</v>
      </c>
      <c r="F9">
        <f>INT(((A9-D9*2)/'Setup &amp; Summary'!N$16)/2+0.5)*2</f>
        <v>12</v>
      </c>
      <c r="G9">
        <f>INT(((B9-C9*2)/'Setup &amp; Summary'!N$16)/2+0.5)*2</f>
        <v>18</v>
      </c>
      <c r="H9" s="44">
        <f t="shared" si="1"/>
        <v>25</v>
      </c>
      <c r="I9" s="43"/>
      <c r="J9" s="44">
        <v>100</v>
      </c>
      <c r="K9" s="44">
        <f t="shared" si="0"/>
        <v>200</v>
      </c>
      <c r="L9" s="44">
        <f t="shared" si="0"/>
        <v>400</v>
      </c>
      <c r="M9" s="44">
        <f t="shared" si="0"/>
        <v>800</v>
      </c>
    </row>
    <row r="10" spans="1:13" x14ac:dyDescent="0.2">
      <c r="A10" s="32">
        <v>24</v>
      </c>
      <c r="B10" s="32">
        <v>48</v>
      </c>
      <c r="C10" s="42">
        <v>1</v>
      </c>
      <c r="D10" s="42">
        <v>1</v>
      </c>
      <c r="F10">
        <f>INT(((A10-D10*2)/'Setup &amp; Summary'!N$16)/2+0.5)*2</f>
        <v>12</v>
      </c>
      <c r="G10">
        <f>INT(((B10-C10*2)/'Setup &amp; Summary'!N$16)/2+0.5)*2</f>
        <v>24</v>
      </c>
      <c r="H10" s="44">
        <f t="shared" si="1"/>
        <v>38</v>
      </c>
      <c r="I10" s="43"/>
      <c r="J10" s="44">
        <v>150</v>
      </c>
      <c r="K10" s="44">
        <f t="shared" si="0"/>
        <v>300</v>
      </c>
      <c r="L10" s="44">
        <f t="shared" si="0"/>
        <v>600</v>
      </c>
      <c r="M10" s="44">
        <f t="shared" si="0"/>
        <v>1200</v>
      </c>
    </row>
    <row r="11" spans="1:13" x14ac:dyDescent="0.2">
      <c r="A11" s="32">
        <v>24</v>
      </c>
      <c r="B11" s="32">
        <v>60</v>
      </c>
      <c r="C11" s="42">
        <v>2</v>
      </c>
      <c r="D11" s="42">
        <v>1</v>
      </c>
      <c r="F11">
        <f>INT(((A11-D11*2)/'Setup &amp; Summary'!N$16)/2+0.5)*2</f>
        <v>12</v>
      </c>
      <c r="G11">
        <f>INT(((B11-C11*2)/'Setup &amp; Summary'!N$16)/2+0.5)*2</f>
        <v>28</v>
      </c>
      <c r="H11" s="44">
        <f t="shared" si="1"/>
        <v>50</v>
      </c>
      <c r="I11" s="43"/>
      <c r="J11" s="44">
        <v>200</v>
      </c>
      <c r="K11" s="44">
        <f t="shared" si="0"/>
        <v>400</v>
      </c>
      <c r="L11" s="44">
        <f t="shared" si="0"/>
        <v>800</v>
      </c>
      <c r="M11" s="44">
        <f t="shared" si="0"/>
        <v>1600</v>
      </c>
    </row>
    <row r="12" spans="1:13" x14ac:dyDescent="0.2">
      <c r="A12" s="32">
        <v>30</v>
      </c>
      <c r="B12" s="32">
        <v>30</v>
      </c>
      <c r="C12" s="42">
        <v>1</v>
      </c>
      <c r="D12" s="42">
        <v>1</v>
      </c>
      <c r="F12">
        <f>INT(((A12-D12*2)/'Setup &amp; Summary'!N$16)/2+0.5)*2</f>
        <v>14</v>
      </c>
      <c r="G12">
        <f>INT(((B12-C12*2)/'Setup &amp; Summary'!N$16)/2+0.5)*2</f>
        <v>14</v>
      </c>
      <c r="H12" s="44">
        <f t="shared" si="1"/>
        <v>25</v>
      </c>
      <c r="I12" s="43"/>
      <c r="J12" s="44">
        <v>100</v>
      </c>
      <c r="K12" s="44">
        <f t="shared" si="0"/>
        <v>200</v>
      </c>
      <c r="L12" s="44">
        <f t="shared" si="0"/>
        <v>400</v>
      </c>
      <c r="M12" s="44">
        <f t="shared" si="0"/>
        <v>800</v>
      </c>
    </row>
    <row r="13" spans="1:13" x14ac:dyDescent="0.2">
      <c r="A13" s="32">
        <v>30</v>
      </c>
      <c r="B13" s="32">
        <v>36</v>
      </c>
      <c r="C13" s="42">
        <v>2</v>
      </c>
      <c r="D13" s="42">
        <v>1</v>
      </c>
      <c r="F13">
        <f>INT(((A13-D13*2)/'Setup &amp; Summary'!N$16)/2+0.5)*2</f>
        <v>14</v>
      </c>
      <c r="G13">
        <f>INT(((B13-C13*2)/'Setup &amp; Summary'!N$16)/2+0.5)*2</f>
        <v>16</v>
      </c>
      <c r="H13" s="44">
        <f t="shared" si="1"/>
        <v>32</v>
      </c>
      <c r="I13" s="43"/>
      <c r="J13" s="44">
        <v>125</v>
      </c>
      <c r="K13" s="44">
        <f t="shared" si="0"/>
        <v>250</v>
      </c>
      <c r="L13" s="44">
        <f t="shared" si="0"/>
        <v>500</v>
      </c>
      <c r="M13" s="44">
        <f t="shared" si="0"/>
        <v>1000</v>
      </c>
    </row>
    <row r="14" spans="1:13" x14ac:dyDescent="0.2">
      <c r="A14" s="32">
        <v>30</v>
      </c>
      <c r="B14" s="32">
        <v>48</v>
      </c>
      <c r="C14" s="42">
        <v>2</v>
      </c>
      <c r="D14" s="42">
        <v>1</v>
      </c>
      <c r="F14">
        <f>INT(((A14-D14*2)/'Setup &amp; Summary'!N$16)/2+0.5)*2</f>
        <v>14</v>
      </c>
      <c r="G14">
        <f>INT(((B14-C14*2)/'Setup &amp; Summary'!N$16)/2+0.5)*2</f>
        <v>22</v>
      </c>
      <c r="H14" s="44">
        <f t="shared" si="1"/>
        <v>44</v>
      </c>
      <c r="I14" s="43"/>
      <c r="J14" s="44">
        <v>175</v>
      </c>
      <c r="K14" s="44">
        <f t="shared" si="0"/>
        <v>350</v>
      </c>
      <c r="L14" s="44">
        <f t="shared" si="0"/>
        <v>700</v>
      </c>
      <c r="M14" s="44">
        <f t="shared" si="0"/>
        <v>1400</v>
      </c>
    </row>
    <row r="15" spans="1:13" x14ac:dyDescent="0.2">
      <c r="A15" s="32">
        <v>30</v>
      </c>
      <c r="B15" s="32">
        <v>60</v>
      </c>
      <c r="C15" s="42">
        <v>2</v>
      </c>
      <c r="D15" s="42">
        <v>1</v>
      </c>
      <c r="F15">
        <f>INT(((A15-D15*2)/'Setup &amp; Summary'!N$16)/2+0.5)*2</f>
        <v>14</v>
      </c>
      <c r="G15">
        <f>INT(((B15-C15*2)/'Setup &amp; Summary'!N$16)/2+0.5)*2</f>
        <v>28</v>
      </c>
      <c r="H15" s="44">
        <f t="shared" si="1"/>
        <v>56</v>
      </c>
      <c r="I15" s="43"/>
      <c r="J15" s="44">
        <v>225</v>
      </c>
      <c r="K15" s="44">
        <f t="shared" si="0"/>
        <v>450</v>
      </c>
      <c r="L15" s="44">
        <f t="shared" si="0"/>
        <v>900</v>
      </c>
      <c r="M15" s="44">
        <f t="shared" si="0"/>
        <v>1800</v>
      </c>
    </row>
    <row r="16" spans="1:13" x14ac:dyDescent="0.2">
      <c r="A16" s="32">
        <v>36</v>
      </c>
      <c r="B16" s="32">
        <v>36</v>
      </c>
      <c r="C16" s="42">
        <v>2</v>
      </c>
      <c r="D16" s="42">
        <v>2</v>
      </c>
      <c r="F16">
        <f>INT(((A16-D16*2)/'Setup &amp; Summary'!N$16)/2+0.5)*2</f>
        <v>16</v>
      </c>
      <c r="G16">
        <f>INT(((B16-C16*2)/'Setup &amp; Summary'!N$16)/2+0.5)*2</f>
        <v>16</v>
      </c>
      <c r="H16" s="44">
        <f t="shared" si="1"/>
        <v>38</v>
      </c>
      <c r="I16" s="43"/>
      <c r="J16" s="44">
        <v>150</v>
      </c>
      <c r="K16" s="44">
        <f t="shared" si="0"/>
        <v>300</v>
      </c>
      <c r="L16" s="44">
        <f t="shared" si="0"/>
        <v>600</v>
      </c>
      <c r="M16" s="44">
        <f t="shared" si="0"/>
        <v>1200</v>
      </c>
    </row>
    <row r="17" spans="1:13" x14ac:dyDescent="0.2">
      <c r="A17" s="32">
        <v>36</v>
      </c>
      <c r="B17" s="32">
        <v>48</v>
      </c>
      <c r="C17" s="42">
        <v>2</v>
      </c>
      <c r="D17" s="42">
        <v>2</v>
      </c>
      <c r="F17">
        <f>INT(((A17-D17*2)/'Setup &amp; Summary'!N$16)/2+0.5)*2</f>
        <v>16</v>
      </c>
      <c r="G17">
        <f>INT(((B17-C17*2)/'Setup &amp; Summary'!N$16)/2+0.5)*2</f>
        <v>22</v>
      </c>
      <c r="H17" s="44">
        <f t="shared" si="1"/>
        <v>50</v>
      </c>
      <c r="I17" s="43"/>
      <c r="J17" s="44">
        <v>200</v>
      </c>
      <c r="K17" s="44">
        <f t="shared" si="0"/>
        <v>400</v>
      </c>
      <c r="L17" s="44">
        <f t="shared" si="0"/>
        <v>800</v>
      </c>
      <c r="M17" s="44">
        <f t="shared" si="0"/>
        <v>1600</v>
      </c>
    </row>
    <row r="18" spans="1:13" x14ac:dyDescent="0.2">
      <c r="A18" s="32">
        <v>36</v>
      </c>
      <c r="B18" s="32">
        <v>60</v>
      </c>
      <c r="C18" s="42">
        <v>3</v>
      </c>
      <c r="D18" s="42">
        <v>2</v>
      </c>
      <c r="F18">
        <f>INT(((A18-D18*2)/'Setup &amp; Summary'!N$16)/2+0.5)*2</f>
        <v>16</v>
      </c>
      <c r="G18">
        <f>INT(((B18-C18*2)/'Setup &amp; Summary'!N$16)/2+0.5)*2</f>
        <v>28</v>
      </c>
      <c r="H18" s="44">
        <f t="shared" si="1"/>
        <v>62</v>
      </c>
      <c r="I18" s="43"/>
      <c r="J18" s="44">
        <v>250</v>
      </c>
      <c r="K18" s="44">
        <f t="shared" si="0"/>
        <v>500</v>
      </c>
      <c r="L18" s="44">
        <f t="shared" si="0"/>
        <v>1000</v>
      </c>
      <c r="M18" s="44">
        <f t="shared" si="0"/>
        <v>2000</v>
      </c>
    </row>
    <row r="19" spans="1:13" x14ac:dyDescent="0.2">
      <c r="A19" s="32">
        <v>36</v>
      </c>
      <c r="B19" s="32">
        <v>72</v>
      </c>
      <c r="C19" s="42">
        <v>2</v>
      </c>
      <c r="D19" s="42">
        <v>1</v>
      </c>
      <c r="F19">
        <f>INT((('Setup &amp; Summary'!P10-'Setup &amp; Summary'!N19*2)/'Setup &amp; Summary'!N16)/2+0.5)*2</f>
        <v>16</v>
      </c>
      <c r="G19">
        <f>INT(((B19-C19*2)/'Setup &amp; Summary'!N$16)/2+0.5)*2</f>
        <v>34</v>
      </c>
      <c r="H19" s="44">
        <f t="shared" si="1"/>
        <v>75</v>
      </c>
      <c r="I19" s="43"/>
      <c r="J19" s="44">
        <v>300</v>
      </c>
      <c r="K19" s="44">
        <f t="shared" si="0"/>
        <v>600</v>
      </c>
      <c r="L19" s="44">
        <f t="shared" si="0"/>
        <v>1200</v>
      </c>
      <c r="M19" s="44">
        <f t="shared" si="0"/>
        <v>2400</v>
      </c>
    </row>
    <row r="20" spans="1:13" x14ac:dyDescent="0.2">
      <c r="A20" s="32">
        <v>48</v>
      </c>
      <c r="B20" s="32">
        <v>48</v>
      </c>
      <c r="C20" s="42">
        <v>2</v>
      </c>
      <c r="D20" s="42">
        <v>2</v>
      </c>
      <c r="F20">
        <f>INT(((A20-D20*2)/'Setup &amp; Summary'!N$16)/2+0.5)*2</f>
        <v>22</v>
      </c>
      <c r="G20">
        <f>INT(((B20-C20*2)/'Setup &amp; Summary'!N$16)/2+0.5)*2</f>
        <v>22</v>
      </c>
      <c r="H20" s="44">
        <f t="shared" si="1"/>
        <v>50</v>
      </c>
      <c r="I20" s="43"/>
      <c r="J20" s="44">
        <v>200</v>
      </c>
      <c r="K20" s="44">
        <f t="shared" si="0"/>
        <v>400</v>
      </c>
      <c r="L20" s="44">
        <f t="shared" si="0"/>
        <v>800</v>
      </c>
      <c r="M20" s="44">
        <f t="shared" si="0"/>
        <v>1600</v>
      </c>
    </row>
    <row r="21" spans="1:13" x14ac:dyDescent="0.2">
      <c r="A21" s="32">
        <v>48</v>
      </c>
      <c r="B21" s="32">
        <v>60</v>
      </c>
      <c r="C21" s="42">
        <v>2</v>
      </c>
      <c r="D21" s="42">
        <v>2</v>
      </c>
      <c r="F21">
        <f>INT(((A21-D21*2)/'Setup &amp; Summary'!N$16)/2+0.5)*2</f>
        <v>22</v>
      </c>
      <c r="G21">
        <f>INT(((B21-C21*2)/'Setup &amp; Summary'!N$16)/2+0.5)*2</f>
        <v>28</v>
      </c>
      <c r="H21" s="44">
        <f t="shared" si="1"/>
        <v>75</v>
      </c>
      <c r="I21" s="43"/>
      <c r="J21" s="44">
        <v>300</v>
      </c>
      <c r="K21" s="44">
        <f t="shared" si="0"/>
        <v>600</v>
      </c>
      <c r="L21" s="44">
        <f t="shared" si="0"/>
        <v>1200</v>
      </c>
      <c r="M21" s="44">
        <f t="shared" si="0"/>
        <v>2400</v>
      </c>
    </row>
    <row r="22" spans="1:13" x14ac:dyDescent="0.2">
      <c r="A22" s="32">
        <v>48</v>
      </c>
      <c r="B22" s="32">
        <v>72</v>
      </c>
      <c r="C22" s="42">
        <v>4</v>
      </c>
      <c r="D22" s="42">
        <v>4</v>
      </c>
      <c r="F22">
        <f>INT(((A22-D22*2)/'Setup &amp; Summary'!N$16)/2+0.5)*2</f>
        <v>20</v>
      </c>
      <c r="G22">
        <f>INT(((B22-C22*2)/'Setup &amp; Summary'!N$16)/2+0.5)*2</f>
        <v>32</v>
      </c>
      <c r="H22" s="44">
        <f t="shared" si="1"/>
        <v>88</v>
      </c>
      <c r="I22" s="43"/>
      <c r="J22" s="44">
        <v>350</v>
      </c>
      <c r="K22" s="44">
        <f t="shared" si="0"/>
        <v>700</v>
      </c>
      <c r="L22" s="44">
        <f t="shared" si="0"/>
        <v>1400</v>
      </c>
      <c r="M22" s="44">
        <f t="shared" si="0"/>
        <v>2800</v>
      </c>
    </row>
    <row r="23" spans="1:13" x14ac:dyDescent="0.2">
      <c r="A23" s="32">
        <v>48</v>
      </c>
      <c r="B23" s="32">
        <v>84</v>
      </c>
      <c r="C23" s="42">
        <v>2</v>
      </c>
      <c r="D23" s="42">
        <v>4</v>
      </c>
      <c r="F23">
        <f>INT(((A23-D23*2)/'Setup &amp; Summary'!N$16)/2+0.5)*2</f>
        <v>20</v>
      </c>
      <c r="G23">
        <f>INT(((B23-C23*2)/'Setup &amp; Summary'!N$16)/2+0.5)*2</f>
        <v>40</v>
      </c>
      <c r="H23" s="44">
        <f t="shared" si="1"/>
        <v>106</v>
      </c>
      <c r="I23" s="43"/>
      <c r="J23" s="44">
        <v>425</v>
      </c>
      <c r="K23" s="44">
        <f t="shared" ref="K23:M38" si="2">J23*2</f>
        <v>850</v>
      </c>
      <c r="L23" s="44">
        <f t="shared" si="2"/>
        <v>1700</v>
      </c>
      <c r="M23" s="44">
        <f t="shared" si="2"/>
        <v>3400</v>
      </c>
    </row>
    <row r="24" spans="1:13" x14ac:dyDescent="0.2">
      <c r="A24" s="32">
        <v>48</v>
      </c>
      <c r="B24" s="32">
        <v>96</v>
      </c>
      <c r="C24" s="42">
        <v>4</v>
      </c>
      <c r="D24" s="42">
        <v>4</v>
      </c>
      <c r="F24">
        <f>INT(((A24-D24*2)/'Setup &amp; Summary'!N$16)/2+0.5)*2</f>
        <v>20</v>
      </c>
      <c r="G24">
        <f>INT(((B24-C24*2)/'Setup &amp; Summary'!N$16)/2+0.5)*2</f>
        <v>44</v>
      </c>
      <c r="H24" s="44">
        <f t="shared" si="1"/>
        <v>125</v>
      </c>
      <c r="I24" s="43"/>
      <c r="J24" s="44">
        <v>500</v>
      </c>
      <c r="K24" s="44">
        <f t="shared" si="2"/>
        <v>1000</v>
      </c>
      <c r="L24" s="44">
        <f t="shared" si="2"/>
        <v>2000</v>
      </c>
      <c r="M24" s="44">
        <f t="shared" si="2"/>
        <v>4000</v>
      </c>
    </row>
    <row r="25" spans="1:13" x14ac:dyDescent="0.2">
      <c r="A25" s="32">
        <v>48</v>
      </c>
      <c r="B25" s="32">
        <v>108</v>
      </c>
      <c r="C25" s="42">
        <v>2</v>
      </c>
      <c r="D25" s="42">
        <v>4</v>
      </c>
      <c r="F25">
        <f>INT(((A25-D25*2)/'Setup &amp; Summary'!N$16)/2+0.5)*2</f>
        <v>20</v>
      </c>
      <c r="G25">
        <f>INT(((B25-C25*2)/'Setup &amp; Summary'!N$16)/2+0.5)*2</f>
        <v>52</v>
      </c>
      <c r="H25" s="44">
        <f t="shared" si="1"/>
        <v>150</v>
      </c>
      <c r="I25" s="43"/>
      <c r="J25" s="44">
        <v>600</v>
      </c>
      <c r="K25" s="44">
        <f t="shared" si="2"/>
        <v>1200</v>
      </c>
      <c r="L25" s="44">
        <f t="shared" si="2"/>
        <v>2400</v>
      </c>
      <c r="M25" s="44">
        <f t="shared" si="2"/>
        <v>4800</v>
      </c>
    </row>
    <row r="26" spans="1:13" x14ac:dyDescent="0.2">
      <c r="A26" s="32">
        <v>48</v>
      </c>
      <c r="B26" s="32">
        <v>120</v>
      </c>
      <c r="C26" s="42">
        <v>4</v>
      </c>
      <c r="D26" s="42">
        <v>4</v>
      </c>
      <c r="F26">
        <f>INT(((A26-D26*2)/'Setup &amp; Summary'!N$16)/2+0.5)*2</f>
        <v>20</v>
      </c>
      <c r="G26">
        <f>INT(((B26-C26*2)/'Setup &amp; Summary'!N$16)/2+0.5)*2</f>
        <v>56</v>
      </c>
      <c r="H26" s="44">
        <f t="shared" si="1"/>
        <v>175</v>
      </c>
      <c r="I26" s="43"/>
      <c r="J26" s="44">
        <v>700</v>
      </c>
      <c r="K26" s="44">
        <f t="shared" si="2"/>
        <v>1400</v>
      </c>
      <c r="L26" s="44">
        <f t="shared" si="2"/>
        <v>2800</v>
      </c>
      <c r="M26" s="44">
        <f t="shared" si="2"/>
        <v>5600</v>
      </c>
    </row>
    <row r="27" spans="1:13" x14ac:dyDescent="0.2">
      <c r="A27" s="32">
        <v>48</v>
      </c>
      <c r="B27" s="32">
        <v>144</v>
      </c>
      <c r="C27" s="42">
        <v>4</v>
      </c>
      <c r="D27" s="42">
        <v>4</v>
      </c>
      <c r="F27">
        <f>INT(((A27-D27*2)/'Setup &amp; Summary'!N$16)/2+0.5)*2</f>
        <v>20</v>
      </c>
      <c r="G27">
        <f>INT(((B27-C27*2)/'Setup &amp; Summary'!N$16)/2+0.5)*2</f>
        <v>68</v>
      </c>
      <c r="H27" s="44">
        <f t="shared" si="1"/>
        <v>238</v>
      </c>
      <c r="I27" s="43"/>
      <c r="J27" s="44">
        <v>950</v>
      </c>
      <c r="K27" s="44">
        <f t="shared" si="2"/>
        <v>1900</v>
      </c>
      <c r="L27" s="44">
        <f t="shared" si="2"/>
        <v>3800</v>
      </c>
      <c r="M27" s="44">
        <f t="shared" si="2"/>
        <v>7600</v>
      </c>
    </row>
    <row r="28" spans="1:13" x14ac:dyDescent="0.2">
      <c r="A28" s="32">
        <v>60</v>
      </c>
      <c r="B28" s="32">
        <v>60</v>
      </c>
      <c r="C28" s="42">
        <v>2</v>
      </c>
      <c r="D28" s="42">
        <v>2</v>
      </c>
      <c r="F28">
        <f>INT(((A28-D28*2)/'Setup &amp; Summary'!N$16)/2+0.5)*2</f>
        <v>28</v>
      </c>
      <c r="G28">
        <f>INT(((B28-C28*2)/'Setup &amp; Summary'!N$16)/2+0.5)*2</f>
        <v>28</v>
      </c>
      <c r="H28" s="44">
        <f t="shared" si="1"/>
        <v>82</v>
      </c>
      <c r="I28" s="43"/>
      <c r="J28" s="44">
        <v>325</v>
      </c>
      <c r="K28" s="44">
        <f t="shared" si="2"/>
        <v>650</v>
      </c>
      <c r="L28" s="44">
        <f t="shared" si="2"/>
        <v>1300</v>
      </c>
      <c r="M28" s="44">
        <f t="shared" si="2"/>
        <v>2600</v>
      </c>
    </row>
    <row r="29" spans="1:13" x14ac:dyDescent="0.2">
      <c r="A29" s="32">
        <v>60</v>
      </c>
      <c r="B29" s="32">
        <v>72</v>
      </c>
      <c r="C29" s="42">
        <v>4</v>
      </c>
      <c r="D29" s="42">
        <v>2</v>
      </c>
      <c r="F29">
        <f>INT(((A29-D29*2)/'Setup &amp; Summary'!N$16)/2+0.5)*2</f>
        <v>28</v>
      </c>
      <c r="G29">
        <f>INT(((B29-C29*2)/'Setup &amp; Summary'!N$16)/2+0.5)*2</f>
        <v>32</v>
      </c>
      <c r="H29" s="44">
        <f t="shared" si="1"/>
        <v>100</v>
      </c>
      <c r="I29" s="43"/>
      <c r="J29" s="44">
        <v>400</v>
      </c>
      <c r="K29" s="44">
        <f t="shared" si="2"/>
        <v>800</v>
      </c>
      <c r="L29" s="44">
        <f t="shared" si="2"/>
        <v>1600</v>
      </c>
      <c r="M29" s="44">
        <f t="shared" si="2"/>
        <v>3200</v>
      </c>
    </row>
    <row r="30" spans="1:13" x14ac:dyDescent="0.2">
      <c r="A30" s="32">
        <v>60</v>
      </c>
      <c r="B30" s="32">
        <v>84</v>
      </c>
      <c r="C30" s="42">
        <v>2</v>
      </c>
      <c r="D30" s="42">
        <v>2</v>
      </c>
      <c r="F30">
        <f>INT(((A30-D30*2)/'Setup &amp; Summary'!N$16)/2+0.5)*2</f>
        <v>28</v>
      </c>
      <c r="G30">
        <f>INT(((B30-C30*2)/'Setup &amp; Summary'!N$16)/2+0.5)*2</f>
        <v>40</v>
      </c>
      <c r="H30" s="44">
        <f t="shared" si="1"/>
        <v>118</v>
      </c>
      <c r="I30" s="43"/>
      <c r="J30" s="44">
        <v>475</v>
      </c>
      <c r="K30" s="44">
        <f t="shared" si="2"/>
        <v>950</v>
      </c>
      <c r="L30" s="44">
        <f t="shared" si="2"/>
        <v>1900</v>
      </c>
      <c r="M30" s="44">
        <f t="shared" si="2"/>
        <v>3800</v>
      </c>
    </row>
    <row r="31" spans="1:13" x14ac:dyDescent="0.2">
      <c r="A31" s="32">
        <v>60</v>
      </c>
      <c r="B31" s="32">
        <v>96</v>
      </c>
      <c r="C31" s="42">
        <v>4</v>
      </c>
      <c r="D31" s="42">
        <v>2</v>
      </c>
      <c r="F31">
        <f>INT(((A31-D31*2)/'Setup &amp; Summary'!N$16)/2+0.5)*2</f>
        <v>28</v>
      </c>
      <c r="G31">
        <f>INT(((B31-C31*2)/'Setup &amp; Summary'!N$16)/2+0.5)*2</f>
        <v>44</v>
      </c>
      <c r="H31" s="44">
        <f t="shared" si="1"/>
        <v>138</v>
      </c>
      <c r="I31" s="43"/>
      <c r="J31" s="44">
        <v>550</v>
      </c>
      <c r="K31" s="44">
        <f t="shared" si="2"/>
        <v>1100</v>
      </c>
      <c r="L31" s="44">
        <f t="shared" si="2"/>
        <v>2200</v>
      </c>
      <c r="M31" s="44">
        <f t="shared" si="2"/>
        <v>4400</v>
      </c>
    </row>
    <row r="32" spans="1:13" x14ac:dyDescent="0.2">
      <c r="A32" s="32">
        <v>60</v>
      </c>
      <c r="B32" s="32">
        <v>108</v>
      </c>
      <c r="C32" s="42">
        <v>2</v>
      </c>
      <c r="D32" s="42">
        <v>2</v>
      </c>
      <c r="F32">
        <f>INT(((A32-D32*2)/'Setup &amp; Summary'!N$16)/2+0.5)*2</f>
        <v>28</v>
      </c>
      <c r="G32">
        <f>INT(((B32-C32*2)/'Setup &amp; Summary'!N$16)/2+0.5)*2</f>
        <v>52</v>
      </c>
      <c r="H32" s="44">
        <f t="shared" si="1"/>
        <v>162</v>
      </c>
      <c r="I32" s="43"/>
      <c r="J32" s="44">
        <v>650</v>
      </c>
      <c r="K32" s="44">
        <f t="shared" si="2"/>
        <v>1300</v>
      </c>
      <c r="L32" s="44">
        <f t="shared" si="2"/>
        <v>2600</v>
      </c>
      <c r="M32" s="44">
        <f t="shared" si="2"/>
        <v>5200</v>
      </c>
    </row>
    <row r="33" spans="1:13" x14ac:dyDescent="0.2">
      <c r="A33" s="32">
        <v>60</v>
      </c>
      <c r="B33" s="32">
        <v>120</v>
      </c>
      <c r="C33" s="42">
        <v>4</v>
      </c>
      <c r="D33" s="42">
        <v>2</v>
      </c>
      <c r="F33">
        <f>INT(((A33-D33*2)/'Setup &amp; Summary'!N$16)/2+0.5)*2</f>
        <v>28</v>
      </c>
      <c r="G33">
        <f>INT(((B33-C33*2)/'Setup &amp; Summary'!N$16)/2+0.5)*2</f>
        <v>56</v>
      </c>
      <c r="H33" s="44">
        <f t="shared" si="1"/>
        <v>188</v>
      </c>
      <c r="I33" s="43"/>
      <c r="J33" s="44">
        <v>750</v>
      </c>
      <c r="K33" s="44">
        <f t="shared" si="2"/>
        <v>1500</v>
      </c>
      <c r="L33" s="44">
        <f t="shared" si="2"/>
        <v>3000</v>
      </c>
      <c r="M33" s="44">
        <f t="shared" si="2"/>
        <v>6000</v>
      </c>
    </row>
    <row r="34" spans="1:13" x14ac:dyDescent="0.2">
      <c r="A34" s="32">
        <v>60</v>
      </c>
      <c r="B34" s="32">
        <v>144</v>
      </c>
      <c r="C34" s="42">
        <v>4</v>
      </c>
      <c r="D34" s="42">
        <v>2</v>
      </c>
      <c r="F34">
        <f>INT(((A34-D34*2)/'Setup &amp; Summary'!N$16)/2+0.5)*2</f>
        <v>28</v>
      </c>
      <c r="G34">
        <f>INT(((B34-C34*2)/'Setup &amp; Summary'!N$16)/2+0.5)*2</f>
        <v>68</v>
      </c>
      <c r="H34" s="44">
        <f t="shared" si="1"/>
        <v>256</v>
      </c>
      <c r="I34" s="43"/>
      <c r="J34" s="44">
        <v>1025</v>
      </c>
      <c r="K34" s="44">
        <f t="shared" si="2"/>
        <v>2050</v>
      </c>
      <c r="L34" s="44">
        <f t="shared" si="2"/>
        <v>4100</v>
      </c>
      <c r="M34" s="44">
        <f t="shared" si="2"/>
        <v>8200</v>
      </c>
    </row>
    <row r="35" spans="1:13" x14ac:dyDescent="0.2">
      <c r="A35" s="32">
        <v>72</v>
      </c>
      <c r="B35" s="32">
        <v>72</v>
      </c>
      <c r="C35" s="42">
        <v>4</v>
      </c>
      <c r="D35" s="42">
        <v>4</v>
      </c>
      <c r="F35">
        <f>INT(((A35-D35*2)/'Setup &amp; Summary'!N$16)/2+0.5)*2</f>
        <v>32</v>
      </c>
      <c r="G35">
        <f>INT(((B35-C35*2)/'Setup &amp; Summary'!N$16)/2+0.5)*2</f>
        <v>32</v>
      </c>
      <c r="H35" s="44">
        <f t="shared" si="1"/>
        <v>112</v>
      </c>
      <c r="I35" s="43"/>
      <c r="J35" s="44">
        <v>450</v>
      </c>
      <c r="K35" s="44">
        <f t="shared" si="2"/>
        <v>900</v>
      </c>
      <c r="L35" s="44">
        <f t="shared" si="2"/>
        <v>1800</v>
      </c>
      <c r="M35" s="44">
        <f t="shared" si="2"/>
        <v>3600</v>
      </c>
    </row>
    <row r="36" spans="1:13" x14ac:dyDescent="0.2">
      <c r="A36" s="32">
        <v>72</v>
      </c>
      <c r="B36" s="32">
        <v>96</v>
      </c>
      <c r="C36" s="42">
        <v>4</v>
      </c>
      <c r="D36" s="42">
        <v>4</v>
      </c>
      <c r="F36">
        <f>INT(((A36-D36*2)/'Setup &amp; Summary'!N$16)/2+0.5)*2</f>
        <v>32</v>
      </c>
      <c r="G36">
        <f>INT(((B36-C36*2)/'Setup &amp; Summary'!N$16)/2+0.5)*2</f>
        <v>44</v>
      </c>
      <c r="H36" s="44">
        <f t="shared" si="1"/>
        <v>150</v>
      </c>
      <c r="I36" s="43"/>
      <c r="J36" s="44">
        <v>600</v>
      </c>
      <c r="K36" s="44">
        <f t="shared" si="2"/>
        <v>1200</v>
      </c>
      <c r="L36" s="44">
        <f t="shared" si="2"/>
        <v>2400</v>
      </c>
      <c r="M36" s="44">
        <f t="shared" si="2"/>
        <v>4800</v>
      </c>
    </row>
    <row r="37" spans="1:13" x14ac:dyDescent="0.2">
      <c r="A37" s="32">
        <v>72</v>
      </c>
      <c r="B37" s="32">
        <v>120</v>
      </c>
      <c r="C37" s="42">
        <v>4</v>
      </c>
      <c r="D37" s="42">
        <v>4</v>
      </c>
      <c r="F37">
        <f>INT(((A37-D37*2)/'Setup &amp; Summary'!N$16)/2+0.5)*2</f>
        <v>32</v>
      </c>
      <c r="G37">
        <f>INT(((B37-C37*2)/'Setup &amp; Summary'!N$16)/2+0.5)*2</f>
        <v>56</v>
      </c>
      <c r="H37" s="44">
        <f t="shared" si="1"/>
        <v>206</v>
      </c>
      <c r="I37" s="43"/>
      <c r="J37" s="44">
        <v>825</v>
      </c>
      <c r="K37" s="44">
        <f t="shared" si="2"/>
        <v>1650</v>
      </c>
      <c r="L37" s="44">
        <f t="shared" si="2"/>
        <v>3300</v>
      </c>
      <c r="M37" s="44">
        <f t="shared" si="2"/>
        <v>6600</v>
      </c>
    </row>
    <row r="38" spans="1:13" x14ac:dyDescent="0.2">
      <c r="A38" s="32">
        <v>72</v>
      </c>
      <c r="B38" s="32">
        <v>144</v>
      </c>
      <c r="C38" s="42">
        <v>4</v>
      </c>
      <c r="D38" s="42">
        <v>4</v>
      </c>
      <c r="F38">
        <f>INT(((A38-D38*2)/'Setup &amp; Summary'!N$16)/2+0.5)*2</f>
        <v>32</v>
      </c>
      <c r="G38">
        <f>INT(((B38-C38*2)/'Setup &amp; Summary'!N$16)/2+0.5)*2</f>
        <v>68</v>
      </c>
      <c r="H38" s="44">
        <f t="shared" si="1"/>
        <v>275</v>
      </c>
      <c r="I38" s="43"/>
      <c r="J38" s="44">
        <v>1100</v>
      </c>
      <c r="K38" s="44">
        <f t="shared" si="2"/>
        <v>2200</v>
      </c>
      <c r="L38" s="44">
        <f t="shared" si="2"/>
        <v>4400</v>
      </c>
      <c r="M38" s="44">
        <f t="shared" si="2"/>
        <v>8800</v>
      </c>
    </row>
    <row r="39" spans="1:13" x14ac:dyDescent="0.2">
      <c r="D39" s="41"/>
    </row>
  </sheetData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Setup &amp; Summary</vt:lpstr>
      <vt:lpstr>A</vt:lpstr>
      <vt:lpstr>B</vt:lpstr>
      <vt:lpstr>C</vt:lpstr>
      <vt:lpstr>D</vt:lpstr>
      <vt:lpstr>E</vt:lpstr>
      <vt:lpstr>F</vt:lpstr>
      <vt:lpstr>G</vt:lpstr>
      <vt:lpstr>H</vt:lpstr>
      <vt:lpstr>Figurings</vt:lpstr>
    </vt:vector>
  </TitlesOfParts>
  <Company>JudoooTronics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Surface Plates: Autocollimator Method</dc:title>
  <dc:subject>Moody Plot w/ HTML Canvas Export</dc:subject>
  <dc:creator>Jake Gilliam</dc:creator>
  <cp:lastModifiedBy>Jacob Gilliam</cp:lastModifiedBy>
  <dcterms:created xsi:type="dcterms:W3CDTF">2012-07-22T22:35:47Z</dcterms:created>
  <dcterms:modified xsi:type="dcterms:W3CDTF">2017-01-12T04:39:32Z</dcterms:modified>
</cp:coreProperties>
</file>